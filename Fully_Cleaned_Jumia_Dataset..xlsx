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cuments\excel dashboard\"/>
    </mc:Choice>
  </mc:AlternateContent>
  <xr:revisionPtr revIDLastSave="0" documentId="13_ncr:1_{CB028425-1072-4A54-99F0-F5DD2FE7C97F}" xr6:coauthVersionLast="47" xr6:coauthVersionMax="47" xr10:uidLastSave="{00000000-0000-0000-0000-000000000000}"/>
  <bookViews>
    <workbookView xWindow="-108" yWindow="-108" windowWidth="23256" windowHeight="12456" xr2:uid="{DC2EBC4B-1350-4004-B5CD-B48C2EF83F67}"/>
  </bookViews>
  <sheets>
    <sheet name="Dashboard" sheetId="13" r:id="rId1"/>
    <sheet name="discount percentage per review" sheetId="5" r:id="rId2"/>
    <sheet name="rating against reviews" sheetId="6" r:id="rId3"/>
    <sheet name="products top rating " sheetId="9" r:id="rId4"/>
    <sheet name="product low rating" sheetId="10" r:id="rId5"/>
    <sheet name="products against reviews and ra" sheetId="12" r:id="rId6"/>
    <sheet name="top ten products by review,r, d" sheetId="14" r:id="rId7"/>
    <sheet name="top ten products by reviews" sheetId="15" r:id="rId8"/>
    <sheet name="product by rating c and d cat" sheetId="16" r:id="rId9"/>
    <sheet name="Excel_jumia_dataset" sheetId="1" r:id="rId10"/>
  </sheets>
  <definedNames>
    <definedName name="Slicer_discount_category">#N/A</definedName>
    <definedName name="Slicer_Rating_category">#N/A</definedName>
    <definedName name="Slicer_Ratingd">#N/A</definedName>
    <definedName name="Slicer_Review">#N/A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1" l="1"/>
  <c r="K20" i="1"/>
  <c r="K25" i="1"/>
  <c r="K24" i="1"/>
  <c r="K23" i="1"/>
  <c r="K22" i="1"/>
  <c r="I66" i="1" a="1"/>
  <c r="I66" i="1" s="1"/>
  <c r="H66" i="1" a="1"/>
  <c r="H66" i="1" s="1"/>
  <c r="G66" i="1"/>
  <c r="I67" i="1" a="1"/>
  <c r="I67" i="1" s="1"/>
  <c r="I81" i="1" a="1"/>
  <c r="I81" i="1" s="1"/>
  <c r="I76" i="1" a="1"/>
  <c r="I76" i="1" s="1"/>
  <c r="I21" i="1" a="1"/>
  <c r="I21" i="1" s="1"/>
  <c r="I86" i="1" a="1"/>
  <c r="I86" i="1" s="1"/>
  <c r="I51" i="1" a="1"/>
  <c r="I51" i="1" s="1"/>
  <c r="I89" i="1" a="1"/>
  <c r="I89" i="1" s="1"/>
  <c r="I90" i="1" a="1"/>
  <c r="I90" i="1" s="1"/>
  <c r="I107" i="1" a="1"/>
  <c r="I107" i="1" s="1"/>
  <c r="I102" i="1" a="1"/>
  <c r="I102" i="1" s="1"/>
  <c r="I113" i="1" a="1"/>
  <c r="I113" i="1" s="1"/>
  <c r="I16" i="1" a="1"/>
  <c r="I16" i="1" s="1"/>
  <c r="I68" i="1" a="1"/>
  <c r="I68" i="1" s="1"/>
  <c r="I43" i="1" a="1"/>
  <c r="I43" i="1" s="1"/>
  <c r="I65" i="1" a="1"/>
  <c r="I65" i="1" s="1"/>
  <c r="I15" i="1" a="1"/>
  <c r="I15" i="1" s="1"/>
  <c r="I23" i="1" a="1"/>
  <c r="I23" i="1" s="1"/>
  <c r="I55" i="1" a="1"/>
  <c r="I55" i="1" s="1"/>
  <c r="I9" i="1" a="1"/>
  <c r="I9" i="1" s="1"/>
  <c r="I26" i="1" a="1"/>
  <c r="I26" i="1" s="1"/>
  <c r="I42" i="1" a="1"/>
  <c r="I42" i="1" s="1"/>
  <c r="I27" i="1" a="1"/>
  <c r="I27" i="1" s="1"/>
  <c r="I58" i="1" a="1"/>
  <c r="I58" i="1" s="1"/>
  <c r="I100" i="1" a="1"/>
  <c r="I100" i="1" s="1"/>
  <c r="I82" i="1" a="1"/>
  <c r="I82" i="1" s="1"/>
  <c r="I84" i="1" a="1"/>
  <c r="I84" i="1" s="1"/>
  <c r="I85" i="1" a="1"/>
  <c r="I85" i="1" s="1"/>
  <c r="I72" i="1" a="1"/>
  <c r="I72" i="1" s="1"/>
  <c r="I4" i="1" a="1"/>
  <c r="I4" i="1" s="1"/>
  <c r="I2" i="1" a="1"/>
  <c r="I2" i="1" s="1"/>
  <c r="I44" i="1" a="1"/>
  <c r="I44" i="1" s="1"/>
  <c r="I80" i="1" a="1"/>
  <c r="I80" i="1" s="1"/>
  <c r="I28" i="1" a="1"/>
  <c r="I28" i="1" s="1"/>
  <c r="I40" i="1" a="1"/>
  <c r="I40" i="1" s="1"/>
  <c r="I59" i="1" a="1"/>
  <c r="I59" i="1" s="1"/>
  <c r="I62" i="1" a="1"/>
  <c r="I62" i="1" s="1"/>
  <c r="I50" i="1" a="1"/>
  <c r="I50" i="1" s="1"/>
  <c r="I29" i="1" a="1"/>
  <c r="I29" i="1" s="1"/>
  <c r="I30" i="1" a="1"/>
  <c r="I30" i="1" s="1"/>
  <c r="I13" i="1" a="1"/>
  <c r="I13" i="1" s="1"/>
  <c r="I49" i="1" a="1"/>
  <c r="I49" i="1" s="1"/>
  <c r="I31" i="1" a="1"/>
  <c r="I31" i="1" s="1"/>
  <c r="I60" i="1" a="1"/>
  <c r="I60" i="1" s="1"/>
  <c r="I24" i="1" a="1"/>
  <c r="I24" i="1" s="1"/>
  <c r="I45" i="1" a="1"/>
  <c r="I45" i="1" s="1"/>
  <c r="I17" i="1" a="1"/>
  <c r="I17" i="1" s="1"/>
  <c r="I32" i="1" a="1"/>
  <c r="I32" i="1" s="1"/>
  <c r="I33" i="1" a="1"/>
  <c r="I33" i="1" s="1"/>
  <c r="I77" i="1" a="1"/>
  <c r="I77" i="1" s="1"/>
  <c r="I18" i="1" a="1"/>
  <c r="I18" i="1" s="1"/>
  <c r="I36" i="1" a="1"/>
  <c r="I36" i="1" s="1"/>
  <c r="I10" i="1" a="1"/>
  <c r="I10" i="1" s="1"/>
  <c r="I3" i="1" a="1"/>
  <c r="I3" i="1" s="1"/>
  <c r="I34" i="1" a="1"/>
  <c r="I34" i="1" s="1"/>
  <c r="I104" i="1" a="1"/>
  <c r="I104" i="1" s="1"/>
  <c r="I63" i="1" a="1"/>
  <c r="I63" i="1" s="1"/>
  <c r="I70" i="1" a="1"/>
  <c r="I70" i="1" s="1"/>
  <c r="I64" i="1" a="1"/>
  <c r="I64" i="1" s="1"/>
  <c r="I39" i="1" a="1"/>
  <c r="I39" i="1" s="1"/>
  <c r="I74" i="1" a="1"/>
  <c r="I74" i="1" s="1"/>
  <c r="I12" i="1" a="1"/>
  <c r="I12" i="1" s="1"/>
  <c r="I91" i="1" a="1"/>
  <c r="I91" i="1" s="1"/>
  <c r="I95" i="1" a="1"/>
  <c r="I95" i="1" s="1"/>
  <c r="I22" i="1" a="1"/>
  <c r="I22" i="1" s="1"/>
  <c r="I11" i="1" a="1"/>
  <c r="I11" i="1" s="1"/>
  <c r="I94" i="1" a="1"/>
  <c r="I94" i="1" s="1"/>
  <c r="I83" i="1" a="1"/>
  <c r="I83" i="1" s="1"/>
  <c r="I8" i="1" a="1"/>
  <c r="I8" i="1" s="1"/>
  <c r="I25" i="1" a="1"/>
  <c r="I25" i="1" s="1"/>
  <c r="I57" i="1" a="1"/>
  <c r="I57" i="1" s="1"/>
  <c r="I5" i="1" a="1"/>
  <c r="I5" i="1" s="1"/>
  <c r="I69" i="1" a="1"/>
  <c r="I69" i="1" s="1"/>
  <c r="I35" i="1" a="1"/>
  <c r="I35" i="1" s="1"/>
  <c r="I73" i="1" a="1"/>
  <c r="I73" i="1" s="1"/>
  <c r="I78" i="1" a="1"/>
  <c r="I78" i="1" s="1"/>
  <c r="I96" i="1" a="1"/>
  <c r="I96" i="1" s="1"/>
  <c r="I46" i="1" a="1"/>
  <c r="I46" i="1" s="1"/>
  <c r="I41" i="1" a="1"/>
  <c r="I41" i="1" s="1"/>
  <c r="I105" i="1" a="1"/>
  <c r="I105" i="1" s="1"/>
  <c r="I19" i="1" a="1"/>
  <c r="I19" i="1" s="1"/>
  <c r="I79" i="1" a="1"/>
  <c r="I79" i="1" s="1"/>
  <c r="I56" i="1" a="1"/>
  <c r="I56" i="1" s="1"/>
  <c r="I48" i="1" a="1"/>
  <c r="I48" i="1" s="1"/>
  <c r="I106" i="1" a="1"/>
  <c r="I106" i="1" s="1"/>
  <c r="I7" i="1" a="1"/>
  <c r="I7" i="1" s="1"/>
  <c r="I98" i="1" a="1"/>
  <c r="I98" i="1" s="1"/>
  <c r="I101" i="1" a="1"/>
  <c r="I101" i="1" s="1"/>
  <c r="I47" i="1" a="1"/>
  <c r="I47" i="1" s="1"/>
  <c r="I108" i="1" a="1"/>
  <c r="I108" i="1" s="1"/>
  <c r="I93" i="1" a="1"/>
  <c r="I93" i="1" s="1"/>
  <c r="I87" i="1" a="1"/>
  <c r="I87" i="1" s="1"/>
  <c r="I88" i="1" a="1"/>
  <c r="I88" i="1" s="1"/>
  <c r="I109" i="1" a="1"/>
  <c r="I109" i="1" s="1"/>
  <c r="I97" i="1" a="1"/>
  <c r="I97" i="1" s="1"/>
  <c r="I37" i="1" a="1"/>
  <c r="I37" i="1" s="1"/>
  <c r="I61" i="1" a="1"/>
  <c r="I61" i="1" s="1"/>
  <c r="I38" i="1" a="1"/>
  <c r="I38" i="1" s="1"/>
  <c r="I110" i="1" a="1"/>
  <c r="I110" i="1" s="1"/>
  <c r="I111" i="1" a="1"/>
  <c r="I111" i="1" s="1"/>
  <c r="I52" i="1" a="1"/>
  <c r="I52" i="1" s="1"/>
  <c r="I6" i="1" a="1"/>
  <c r="I6" i="1" s="1"/>
  <c r="I112" i="1" a="1"/>
  <c r="I112" i="1" s="1"/>
  <c r="I92" i="1" a="1"/>
  <c r="I92" i="1" s="1"/>
  <c r="I20" i="1" a="1"/>
  <c r="I20" i="1" s="1"/>
  <c r="I103" i="1" a="1"/>
  <c r="I103" i="1" s="1"/>
  <c r="I14" i="1" a="1"/>
  <c r="I14" i="1" s="1"/>
  <c r="I99" i="1" a="1"/>
  <c r="I99" i="1" s="1"/>
  <c r="I53" i="1" a="1"/>
  <c r="I53" i="1" s="1"/>
  <c r="I71" i="1" a="1"/>
  <c r="I71" i="1" s="1"/>
  <c r="I54" i="1" a="1"/>
  <c r="I54" i="1" s="1"/>
  <c r="I75" i="1" a="1"/>
  <c r="I75" i="1" s="1"/>
  <c r="H75" i="1" a="1"/>
  <c r="H75" i="1" s="1"/>
  <c r="H67" i="1" a="1"/>
  <c r="H67" i="1" s="1"/>
  <c r="H81" i="1" a="1"/>
  <c r="H81" i="1" s="1"/>
  <c r="H76" i="1" a="1"/>
  <c r="H76" i="1" s="1"/>
  <c r="H21" i="1" a="1"/>
  <c r="H21" i="1" s="1"/>
  <c r="H86" i="1" a="1"/>
  <c r="H86" i="1" s="1"/>
  <c r="H51" i="1" a="1"/>
  <c r="H51" i="1"/>
  <c r="H89" i="1" a="1"/>
  <c r="H89" i="1" s="1"/>
  <c r="H90" i="1" a="1"/>
  <c r="H90" i="1" s="1"/>
  <c r="H107" i="1" a="1"/>
  <c r="H107" i="1" s="1"/>
  <c r="H102" i="1" a="1"/>
  <c r="H102" i="1" s="1"/>
  <c r="H113" i="1" a="1"/>
  <c r="H113" i="1" s="1"/>
  <c r="H16" i="1" a="1"/>
  <c r="H16" i="1" s="1"/>
  <c r="H68" i="1" a="1"/>
  <c r="H68" i="1" s="1"/>
  <c r="H43" i="1" a="1"/>
  <c r="H43" i="1" s="1"/>
  <c r="H65" i="1" a="1"/>
  <c r="H65" i="1" s="1"/>
  <c r="H15" i="1" a="1"/>
  <c r="H15" i="1" s="1"/>
  <c r="H23" i="1" a="1"/>
  <c r="H23" i="1" s="1"/>
  <c r="H55" i="1" a="1"/>
  <c r="H55" i="1" s="1"/>
  <c r="H9" i="1" a="1"/>
  <c r="H9" i="1" s="1"/>
  <c r="H26" i="1" a="1"/>
  <c r="H26" i="1" s="1"/>
  <c r="H42" i="1" a="1"/>
  <c r="H42" i="1" s="1"/>
  <c r="H27" i="1" a="1"/>
  <c r="H27" i="1" s="1"/>
  <c r="H58" i="1" a="1"/>
  <c r="H58" i="1" s="1"/>
  <c r="H100" i="1" a="1"/>
  <c r="H100" i="1" s="1"/>
  <c r="H82" i="1" a="1"/>
  <c r="H82" i="1" s="1"/>
  <c r="H84" i="1" a="1"/>
  <c r="H84" i="1" s="1"/>
  <c r="H85" i="1" a="1"/>
  <c r="H85" i="1" s="1"/>
  <c r="H72" i="1" a="1"/>
  <c r="H72" i="1" s="1"/>
  <c r="H4" i="1" a="1"/>
  <c r="H4" i="1" s="1"/>
  <c r="H2" i="1" a="1"/>
  <c r="H2" i="1" s="1"/>
  <c r="H44" i="1" a="1"/>
  <c r="H44" i="1" s="1"/>
  <c r="H80" i="1" a="1"/>
  <c r="H80" i="1" s="1"/>
  <c r="H28" i="1" a="1"/>
  <c r="H28" i="1" s="1"/>
  <c r="H40" i="1" a="1"/>
  <c r="H40" i="1" s="1"/>
  <c r="H59" i="1" a="1"/>
  <c r="H59" i="1" s="1"/>
  <c r="H62" i="1" a="1"/>
  <c r="H62" i="1" s="1"/>
  <c r="H50" i="1" a="1"/>
  <c r="H50" i="1" s="1"/>
  <c r="H29" i="1" a="1"/>
  <c r="H29" i="1" s="1"/>
  <c r="H30" i="1" a="1"/>
  <c r="H30" i="1" s="1"/>
  <c r="H13" i="1" a="1"/>
  <c r="H13" i="1" s="1"/>
  <c r="H49" i="1" a="1"/>
  <c r="H49" i="1" s="1"/>
  <c r="H31" i="1" a="1"/>
  <c r="H31" i="1" s="1"/>
  <c r="H60" i="1" a="1"/>
  <c r="H60" i="1" s="1"/>
  <c r="H24" i="1" a="1"/>
  <c r="H24" i="1" s="1"/>
  <c r="H45" i="1" a="1"/>
  <c r="H45" i="1" s="1"/>
  <c r="H17" i="1" a="1"/>
  <c r="H17" i="1" s="1"/>
  <c r="H32" i="1" a="1"/>
  <c r="H32" i="1" s="1"/>
  <c r="H33" i="1" a="1"/>
  <c r="H33" i="1" s="1"/>
  <c r="H77" i="1" a="1"/>
  <c r="H77" i="1" s="1"/>
  <c r="H18" i="1" a="1"/>
  <c r="H18" i="1" s="1"/>
  <c r="H36" i="1" a="1"/>
  <c r="H36" i="1" s="1"/>
  <c r="H10" i="1" a="1"/>
  <c r="H10" i="1" s="1"/>
  <c r="H3" i="1" a="1"/>
  <c r="H3" i="1" s="1"/>
  <c r="H34" i="1" a="1"/>
  <c r="H34" i="1" s="1"/>
  <c r="H104" i="1" a="1"/>
  <c r="H104" i="1" s="1"/>
  <c r="H63" i="1" a="1"/>
  <c r="H63" i="1" s="1"/>
  <c r="H70" i="1" a="1"/>
  <c r="H70" i="1" s="1"/>
  <c r="H64" i="1" a="1"/>
  <c r="H64" i="1" s="1"/>
  <c r="H39" i="1" a="1"/>
  <c r="H39" i="1" s="1"/>
  <c r="H74" i="1" a="1"/>
  <c r="H74" i="1"/>
  <c r="H12" i="1" a="1"/>
  <c r="H12" i="1" s="1"/>
  <c r="H91" i="1" a="1"/>
  <c r="H91" i="1"/>
  <c r="H95" i="1" a="1"/>
  <c r="H95" i="1" s="1"/>
  <c r="H22" i="1" a="1"/>
  <c r="H22" i="1" s="1"/>
  <c r="H11" i="1" a="1"/>
  <c r="H11" i="1" s="1"/>
  <c r="H94" i="1" a="1"/>
  <c r="H94" i="1" s="1"/>
  <c r="H83" i="1" a="1"/>
  <c r="H83" i="1" s="1"/>
  <c r="H8" i="1" a="1"/>
  <c r="H8" i="1" s="1"/>
  <c r="H25" i="1" a="1"/>
  <c r="H25" i="1" s="1"/>
  <c r="H57" i="1" a="1"/>
  <c r="H57" i="1" s="1"/>
  <c r="H5" i="1" a="1"/>
  <c r="H5" i="1" s="1"/>
  <c r="H69" i="1" a="1"/>
  <c r="H69" i="1" s="1"/>
  <c r="H35" i="1" a="1"/>
  <c r="H35" i="1" s="1"/>
  <c r="H73" i="1" a="1"/>
  <c r="H73" i="1" s="1"/>
  <c r="H78" i="1" a="1"/>
  <c r="H78" i="1" s="1"/>
  <c r="H96" i="1" a="1"/>
  <c r="H96" i="1" s="1"/>
  <c r="H46" i="1" a="1"/>
  <c r="H46" i="1" s="1"/>
  <c r="H41" i="1" a="1"/>
  <c r="H41" i="1" s="1"/>
  <c r="H105" i="1" a="1"/>
  <c r="H105" i="1" s="1"/>
  <c r="H19" i="1" a="1"/>
  <c r="H19" i="1" s="1"/>
  <c r="H79" i="1" a="1"/>
  <c r="H79" i="1" s="1"/>
  <c r="H56" i="1" a="1"/>
  <c r="H56" i="1" s="1"/>
  <c r="H48" i="1" a="1"/>
  <c r="H48" i="1" s="1"/>
  <c r="H106" i="1" a="1"/>
  <c r="H106" i="1" s="1"/>
  <c r="H7" i="1" a="1"/>
  <c r="H7" i="1" s="1"/>
  <c r="H98" i="1" a="1"/>
  <c r="H98" i="1" s="1"/>
  <c r="H101" i="1" a="1"/>
  <c r="H101" i="1" s="1"/>
  <c r="H47" i="1" a="1"/>
  <c r="H47" i="1" s="1"/>
  <c r="H108" i="1" a="1"/>
  <c r="H108" i="1" s="1"/>
  <c r="H93" i="1" a="1"/>
  <c r="H93" i="1" s="1"/>
  <c r="H87" i="1" a="1"/>
  <c r="H87" i="1" s="1"/>
  <c r="H88" i="1" a="1"/>
  <c r="H88" i="1" s="1"/>
  <c r="H109" i="1" a="1"/>
  <c r="H109" i="1" s="1"/>
  <c r="H97" i="1" a="1"/>
  <c r="H97" i="1" s="1"/>
  <c r="H37" i="1" a="1"/>
  <c r="H37" i="1" s="1"/>
  <c r="H61" i="1" a="1"/>
  <c r="H61" i="1" s="1"/>
  <c r="H38" i="1" a="1"/>
  <c r="H38" i="1" s="1"/>
  <c r="H110" i="1" a="1"/>
  <c r="H110" i="1" s="1"/>
  <c r="H111" i="1" a="1"/>
  <c r="H111" i="1" s="1"/>
  <c r="H52" i="1" a="1"/>
  <c r="H52" i="1" s="1"/>
  <c r="H6" i="1" a="1"/>
  <c r="H6" i="1" s="1"/>
  <c r="H112" i="1" a="1"/>
  <c r="H112" i="1" s="1"/>
  <c r="H92" i="1" a="1"/>
  <c r="H92" i="1" s="1"/>
  <c r="H20" i="1" a="1"/>
  <c r="H20" i="1" s="1"/>
  <c r="H103" i="1" a="1"/>
  <c r="H103" i="1" s="1"/>
  <c r="H14" i="1" a="1"/>
  <c r="H14" i="1" s="1"/>
  <c r="H99" i="1" a="1"/>
  <c r="H99" i="1" s="1"/>
  <c r="H53" i="1" a="1"/>
  <c r="H53" i="1" s="1"/>
  <c r="H71" i="1" a="1"/>
  <c r="H71" i="1" s="1"/>
  <c r="H54" i="1" a="1"/>
  <c r="H54" i="1"/>
  <c r="G67" i="1"/>
  <c r="G81" i="1"/>
  <c r="G76" i="1"/>
  <c r="G21" i="1"/>
  <c r="G86" i="1"/>
  <c r="G51" i="1"/>
  <c r="G89" i="1"/>
  <c r="G90" i="1"/>
  <c r="G107" i="1"/>
  <c r="G102" i="1"/>
  <c r="G113" i="1"/>
  <c r="G16" i="1"/>
  <c r="G68" i="1"/>
  <c r="G43" i="1"/>
  <c r="G65" i="1"/>
  <c r="G15" i="1"/>
  <c r="G23" i="1"/>
  <c r="G55" i="1"/>
  <c r="G9" i="1"/>
  <c r="G26" i="1"/>
  <c r="G42" i="1"/>
  <c r="G27" i="1"/>
  <c r="G58" i="1"/>
  <c r="G100" i="1"/>
  <c r="G82" i="1"/>
  <c r="G84" i="1"/>
  <c r="G85" i="1"/>
  <c r="G72" i="1"/>
  <c r="G4" i="1"/>
  <c r="G2" i="1"/>
  <c r="G44" i="1"/>
  <c r="G80" i="1"/>
  <c r="G28" i="1"/>
  <c r="G40" i="1"/>
  <c r="G59" i="1"/>
  <c r="G62" i="1"/>
  <c r="G50" i="1"/>
  <c r="G29" i="1"/>
  <c r="G30" i="1"/>
  <c r="G13" i="1"/>
  <c r="G49" i="1"/>
  <c r="G31" i="1"/>
  <c r="G60" i="1"/>
  <c r="G24" i="1"/>
  <c r="G45" i="1"/>
  <c r="G17" i="1"/>
  <c r="G32" i="1"/>
  <c r="G33" i="1"/>
  <c r="G77" i="1"/>
  <c r="G18" i="1"/>
  <c r="G36" i="1"/>
  <c r="G10" i="1"/>
  <c r="G3" i="1"/>
  <c r="G34" i="1"/>
  <c r="G104" i="1"/>
  <c r="G63" i="1"/>
  <c r="G70" i="1"/>
  <c r="G64" i="1"/>
  <c r="G39" i="1"/>
  <c r="G74" i="1"/>
  <c r="G12" i="1"/>
  <c r="G91" i="1"/>
  <c r="G95" i="1"/>
  <c r="G22" i="1"/>
  <c r="G11" i="1"/>
  <c r="G94" i="1"/>
  <c r="G83" i="1"/>
  <c r="G8" i="1"/>
  <c r="G25" i="1"/>
  <c r="G57" i="1"/>
  <c r="G5" i="1"/>
  <c r="G69" i="1"/>
  <c r="G35" i="1"/>
  <c r="G73" i="1"/>
  <c r="G78" i="1"/>
  <c r="G96" i="1"/>
  <c r="G46" i="1"/>
  <c r="G41" i="1"/>
  <c r="G105" i="1"/>
  <c r="G19" i="1"/>
  <c r="G79" i="1"/>
  <c r="G56" i="1"/>
  <c r="G48" i="1"/>
  <c r="G106" i="1"/>
  <c r="G7" i="1"/>
  <c r="G98" i="1"/>
  <c r="G101" i="1"/>
  <c r="G47" i="1"/>
  <c r="G108" i="1"/>
  <c r="G93" i="1"/>
  <c r="G87" i="1"/>
  <c r="G88" i="1"/>
  <c r="G109" i="1"/>
  <c r="G97" i="1"/>
  <c r="G37" i="1"/>
  <c r="G61" i="1"/>
  <c r="G38" i="1"/>
  <c r="G110" i="1"/>
  <c r="G111" i="1"/>
  <c r="G52" i="1"/>
  <c r="G6" i="1"/>
  <c r="G112" i="1"/>
  <c r="G92" i="1"/>
  <c r="G20" i="1"/>
  <c r="G103" i="1"/>
  <c r="G14" i="1"/>
  <c r="G99" i="1"/>
  <c r="G53" i="1"/>
  <c r="G71" i="1"/>
  <c r="G54" i="1"/>
  <c r="G7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<sst xmlns="http://schemas.openxmlformats.org/spreadsheetml/2006/main" count="312" uniqueCount="146">
  <si>
    <t>Product</t>
  </si>
  <si>
    <t>Current price</t>
  </si>
  <si>
    <t>old price</t>
  </si>
  <si>
    <t>Discount</t>
  </si>
  <si>
    <t>Review</t>
  </si>
  <si>
    <t>Ratingd</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</si>
  <si>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</si>
  <si>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</si>
  <si>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</si>
  <si>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</si>
  <si>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</si>
  <si>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</si>
  <si>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</si>
  <si>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</si>
  <si>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</si>
  <si>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</si>
  <si>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</si>
  <si>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</si>
  <si>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</si>
  <si>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</si>
  <si>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</si>
  <si>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</si>
  <si>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</si>
  <si>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</si>
  <si>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</si>
  <si>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</si>
  <si>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</si>
  <si>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</si>
  <si>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</si>
  <si>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</si>
  <si>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</si>
  <si>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</si>
  <si>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</si>
  <si>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</si>
  <si>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</si>
  <si>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</si>
  <si>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</si>
  <si>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</si>
  <si>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</si>
  <si>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</si>
  <si>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</si>
  <si>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</si>
  <si>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</si>
  <si>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</si>
  <si>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</si>
  <si>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</si>
  <si>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</si>
  <si>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</si>
  <si>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</si>
  <si>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</si>
  <si>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</si>
  <si>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</si>
  <si>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</si>
  <si>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</si>
  <si>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</si>
  <si>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</si>
  <si>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</si>
  <si>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</si>
  <si>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</si>
  <si>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</si>
  <si>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</si>
  <si>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</si>
  <si>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</si>
  <si>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</si>
  <si>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</si>
  <si>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</si>
  <si>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</si>
  <si>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</si>
  <si>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</si>
  <si>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</si>
  <si>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</si>
  <si>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</si>
  <si>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</si>
  <si>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</si>
  <si>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</si>
  <si>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</si>
  <si>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</si>
  <si>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</si>
  <si>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</si>
  <si>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</si>
  <si>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</si>
  <si>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</si>
  <si>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</si>
  <si>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</si>
  <si>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</si>
  <si>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</si>
  <si>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</si>
  <si>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</si>
  <si>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</si>
  <si>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</si>
  <si>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</si>
  <si>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</si>
  <si>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</si>
  <si>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</si>
  <si>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</si>
  <si>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</si>
  <si>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</si>
  <si>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</si>
  <si>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</si>
  <si>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</si>
  <si>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</si>
  <si>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</si>
  <si>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</si>
  <si>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</si>
  <si>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</si>
  <si>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</si>
  <si>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</si>
  <si>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</si>
  <si>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</si>
  <si>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</si>
  <si>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</si>
  <si>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</si>
  <si>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</si>
  <si>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</si>
  <si>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</si>
  <si>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Absolute discount</t>
  </si>
  <si>
    <t>Rating category</t>
  </si>
  <si>
    <t>discount category</t>
  </si>
  <si>
    <t>Average current price</t>
  </si>
  <si>
    <t xml:space="preserve">Average  old price </t>
  </si>
  <si>
    <t xml:space="preserve">Average  discount percentage </t>
  </si>
  <si>
    <t>Least expensive product</t>
  </si>
  <si>
    <t>Row Labels</t>
  </si>
  <si>
    <t>Grand Total</t>
  </si>
  <si>
    <t>(blank)</t>
  </si>
  <si>
    <t>Sum of Review</t>
  </si>
  <si>
    <t>0.01-0.11</t>
  </si>
  <si>
    <t>0.11-0.21</t>
  </si>
  <si>
    <t>0.21-0.31</t>
  </si>
  <si>
    <t>0.31-0.41</t>
  </si>
  <si>
    <t>0.41-0.51</t>
  </si>
  <si>
    <t>0.51-0.61</t>
  </si>
  <si>
    <t>0.61-0.71</t>
  </si>
  <si>
    <t>Column Labels</t>
  </si>
  <si>
    <t>Sum of Ratingd</t>
  </si>
  <si>
    <t>High Discount</t>
  </si>
  <si>
    <t>Low Disount</t>
  </si>
  <si>
    <t>Medium Discount</t>
  </si>
  <si>
    <t>Average of Ratingd</t>
  </si>
  <si>
    <t>Average of Review</t>
  </si>
  <si>
    <t>Sum of Discount</t>
  </si>
  <si>
    <t>Average</t>
  </si>
  <si>
    <t>Excellent</t>
  </si>
  <si>
    <t>Poor</t>
  </si>
  <si>
    <t>Count of Product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</si>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</sst>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0"/>
      <name val="Aptos Narrow"/>
      <family val="2"/>
      <scheme val="minor"/>
    </font>
    <font>
      <sz val="11"/>
      <name val="Aptos Display"/>
      <family val="2"/>
      <scheme val="major"/>
    </font>
    <font>
      <u/>
      <sz val="11"/>
      <color theme="1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00B050"/>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8">
    <xf numFmtId="0" fontId="0" fillId="0" borderId="0" xfId="0"/>
    <xf numFmtId="9" fontId="0" fillId="0" borderId="0" xfId="0" applyNumberFormat="1"/>
    <xf numFmtId="0" fontId="18" fillId="33" borderId="0" xfId="0" applyFont="1" applyFill="1"/>
    <xf numFmtId="2" fontId="0" fillId="0" borderId="0" xfId="0" applyNumberFormat="1"/>
    <xf numFmtId="0" fontId="19" fillId="0" borderId="0" xfId="0" applyFont="1"/>
    <xf numFmtId="0" fontId="20" fillId="0" borderId="0" xfId="42"/>
    <xf numFmtId="0" fontId="11" fillId="6" borderId="4" xfId="11"/>
    <xf numFmtId="2" fontId="11" fillId="6" borderId="4" xfId="11" applyNumberFormat="1"/>
    <xf numFmtId="0" fontId="0" fillId="0" borderId="0" xfId="0" pivotButton="1"/>
    <xf numFmtId="9" fontId="0" fillId="0" borderId="0" xfId="0" applyNumberFormat="1" applyAlignment="1">
      <alignment horizontal="left"/>
    </xf>
    <xf numFmtId="0" fontId="0" fillId="0" borderId="0" xfId="0" applyAlignment="1">
      <alignment horizontal="left"/>
    </xf>
    <xf numFmtId="10" fontId="0" fillId="0" borderId="0" xfId="0" applyNumberFormat="1" applyAlignment="1">
      <alignment horizontal="left"/>
    </xf>
    <xf numFmtId="0" fontId="16" fillId="34" borderId="0" xfId="0" applyFont="1" applyFill="1"/>
    <xf numFmtId="0" fontId="11" fillId="6" borderId="0" xfId="11" applyBorder="1"/>
    <xf numFmtId="0" fontId="0" fillId="0" borderId="4" xfId="0" applyBorder="1"/>
    <xf numFmtId="0" fontId="0" fillId="35" borderId="0" xfId="0" applyFill="1"/>
    <xf numFmtId="0" fontId="0" fillId="35" borderId="10" xfId="0" applyFill="1" applyBorder="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4" formatCode="0.00%"/>
    </dxf>
    <dxf>
      <numFmt numFmtId="14" formatCode="0.00%"/>
    </dxf>
    <dxf>
      <numFmt numFmtId="14" formatCode="0.00%"/>
    </dxf>
    <dxf>
      <numFmt numFmtId="14" formatCode="0.00%"/>
    </dxf>
    <dxf>
      <font>
        <color rgb="FF9C0006"/>
      </font>
      <fill>
        <patternFill>
          <bgColor rgb="FFFFC7CE"/>
        </patternFill>
      </fill>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[Fully_Cleaned_Jumia_Dataset..xlsx]discount percentage per review!PivotTable6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Discount percentage per sum</a:t>
            </a:r>
            <a:r>
              <a:rPr lang="en-US" baseline="0">
                <a:solidFill>
                  <a:schemeClr val="accent2"/>
                </a:solidFill>
              </a:rPr>
              <a:t>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percentage per review'!$B$3</c:f>
              <c:strCache>
                <c:ptCount val="1"/>
                <c:pt idx="0">
                  <c:v>Total</c:v>
                </c:pt>
              </c:strCache>
            </c:strRef>
          </c:tx>
          <c:spPr>
            <a:ln w="28575" cap="rnd">
              <a:solidFill>
                <a:schemeClr val="accent1"/>
              </a:solidFill>
              <a:round/>
            </a:ln>
            <a:effectLst/>
          </c:spPr>
          <c:marker>
            <c:symbol val="none"/>
          </c:marker>
          <c:cat>
            <c:strRef>
              <c:f>'discount percentage per review'!$A$4:$A$11</c:f>
              <c:strCache>
                <c:ptCount val="7"/>
                <c:pt idx="0">
                  <c:v>0.01-0.11</c:v>
                </c:pt>
                <c:pt idx="1">
                  <c:v>0.11-0.21</c:v>
                </c:pt>
                <c:pt idx="2">
                  <c:v>0.21-0.31</c:v>
                </c:pt>
                <c:pt idx="3">
                  <c:v>0.31-0.41</c:v>
                </c:pt>
                <c:pt idx="4">
                  <c:v>0.41-0.51</c:v>
                </c:pt>
                <c:pt idx="5">
                  <c:v>0.51-0.61</c:v>
                </c:pt>
                <c:pt idx="6">
                  <c:v>0.61-0.71</c:v>
                </c:pt>
              </c:strCache>
            </c:strRef>
          </c:cat>
          <c:val>
            <c:numRef>
              <c:f>'discount percentage per review'!$B$4:$B$11</c:f>
              <c:numCache>
                <c:formatCode>General</c:formatCode>
                <c:ptCount val="7"/>
                <c:pt idx="0">
                  <c:v>15</c:v>
                </c:pt>
                <c:pt idx="1">
                  <c:v>35</c:v>
                </c:pt>
                <c:pt idx="2">
                  <c:v>192</c:v>
                </c:pt>
                <c:pt idx="3">
                  <c:v>147</c:v>
                </c:pt>
                <c:pt idx="4">
                  <c:v>258</c:v>
                </c:pt>
                <c:pt idx="5">
                  <c:v>76</c:v>
                </c:pt>
              </c:numCache>
            </c:numRef>
          </c:val>
          <c:smooth val="0"/>
          <c:extLst>
            <c:ext xmlns:c16="http://schemas.microsoft.com/office/drawing/2014/chart" uri="{C3380CC4-5D6E-409C-BE32-E72D297353CC}">
              <c16:uniqueId val="{00000000-9B50-4328-B917-8ABAE86A2F13}"/>
            </c:ext>
          </c:extLst>
        </c:ser>
        <c:dLbls>
          <c:showLegendKey val="0"/>
          <c:showVal val="0"/>
          <c:showCatName val="0"/>
          <c:showSerName val="0"/>
          <c:showPercent val="0"/>
          <c:showBubbleSize val="0"/>
        </c:dLbls>
        <c:smooth val="0"/>
        <c:axId val="495385360"/>
        <c:axId val="495387760"/>
      </c:lineChart>
      <c:catAx>
        <c:axId val="49538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5387760"/>
        <c:crosses val="autoZero"/>
        <c:auto val="1"/>
        <c:lblAlgn val="ctr"/>
        <c:lblOffset val="100"/>
        <c:noMultiLvlLbl val="0"/>
      </c:catAx>
      <c:valAx>
        <c:axId val="49538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538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[Fully_Cleaned_Jumia_Dataset..xlsx]rating against reviews!PivotTable7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chemeClr val="accent2"/>
                </a:solidFill>
              </a:rPr>
              <a:t>Ratings against reviews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against reviews'!$B$3</c:f>
              <c:strCache>
                <c:ptCount val="1"/>
                <c:pt idx="0">
                  <c:v>Total</c:v>
                </c:pt>
              </c:strCache>
            </c:strRef>
          </c:tx>
          <c:spPr>
            <a:solidFill>
              <a:schemeClr val="accent1"/>
            </a:solidFill>
            <a:ln>
              <a:noFill/>
            </a:ln>
            <a:effectLst/>
          </c:spPr>
          <c:invertIfNegative val="0"/>
          <c:cat>
            <c:strRef>
              <c:f>'rating against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(blank)</c:v>
                </c:pt>
              </c:strCache>
            </c:strRef>
          </c:cat>
          <c:val>
            <c:numRef>
              <c:f>'rating against reviews'!$B$4:$B$27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5486-445E-8DF2-C90492A9F98F}"/>
            </c:ext>
          </c:extLst>
        </c:ser>
        <c:dLbls>
          <c:showLegendKey val="0"/>
          <c:showVal val="0"/>
          <c:showCatName val="0"/>
          <c:showSerName val="0"/>
          <c:showPercent val="0"/>
          <c:showBubbleSize val="0"/>
        </c:dLbls>
        <c:gapWidth val="219"/>
        <c:overlap val="-27"/>
        <c:axId val="795095344"/>
        <c:axId val="795092944"/>
      </c:barChart>
      <c:catAx>
        <c:axId val="79509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5092944"/>
        <c:crosses val="autoZero"/>
        <c:auto val="1"/>
        <c:lblAlgn val="ctr"/>
        <c:lblOffset val="100"/>
        <c:noMultiLvlLbl val="0"/>
      </c:catAx>
      <c:valAx>
        <c:axId val="79509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509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[Fully_Cleaned_Jumia_Dataset..xlsx]product by rating c and d cat!PivotTable5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2"/>
                </a:solidFill>
              </a:rPr>
              <a:t>P</a:t>
            </a:r>
            <a:r>
              <a:rPr lang="en-KE" sz="1400" b="0" i="0" u="none" strike="noStrike" baseline="0">
                <a:solidFill>
                  <a:schemeClr val="accent2"/>
                </a:solidFill>
              </a:rPr>
              <a:t>roducts by rating category and discount category</a:t>
            </a:r>
            <a:endParaRPr lang="nl-NL">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rating c and d cat'!$B$3:$B$4</c:f>
              <c:strCache>
                <c:ptCount val="1"/>
                <c:pt idx="0">
                  <c:v>High Discount</c:v>
                </c:pt>
              </c:strCache>
            </c:strRef>
          </c:tx>
          <c:spPr>
            <a:solidFill>
              <a:schemeClr val="accent1"/>
            </a:solidFill>
            <a:ln>
              <a:noFill/>
            </a:ln>
            <a:effectLst/>
          </c:spPr>
          <c:invertIfNegative val="0"/>
          <c:cat>
            <c:strRef>
              <c:f>'product by rating c and d cat'!$A$5:$A$8</c:f>
              <c:strCache>
                <c:ptCount val="3"/>
                <c:pt idx="0">
                  <c:v>Average</c:v>
                </c:pt>
                <c:pt idx="1">
                  <c:v>Excellent</c:v>
                </c:pt>
                <c:pt idx="2">
                  <c:v>Poor</c:v>
                </c:pt>
              </c:strCache>
            </c:strRef>
          </c:cat>
          <c:val>
            <c:numRef>
              <c:f>'product by rating c and d cat'!$B$5:$B$8</c:f>
              <c:numCache>
                <c:formatCode>General</c:formatCode>
                <c:ptCount val="3"/>
                <c:pt idx="0">
                  <c:v>5</c:v>
                </c:pt>
                <c:pt idx="1">
                  <c:v>16</c:v>
                </c:pt>
                <c:pt idx="2">
                  <c:v>10</c:v>
                </c:pt>
              </c:numCache>
            </c:numRef>
          </c:val>
          <c:extLst>
            <c:ext xmlns:c16="http://schemas.microsoft.com/office/drawing/2014/chart" uri="{C3380CC4-5D6E-409C-BE32-E72D297353CC}">
              <c16:uniqueId val="{00000000-0E0C-488E-B93E-3A4221DEF72B}"/>
            </c:ext>
          </c:extLst>
        </c:ser>
        <c:ser>
          <c:idx val="1"/>
          <c:order val="1"/>
          <c:tx>
            <c:strRef>
              <c:f>'product by rating c and d cat'!$C$3:$C$4</c:f>
              <c:strCache>
                <c:ptCount val="1"/>
                <c:pt idx="0">
                  <c:v>Low Disount</c:v>
                </c:pt>
              </c:strCache>
            </c:strRef>
          </c:tx>
          <c:spPr>
            <a:solidFill>
              <a:schemeClr val="accent2"/>
            </a:solidFill>
            <a:ln>
              <a:noFill/>
            </a:ln>
            <a:effectLst/>
          </c:spPr>
          <c:invertIfNegative val="0"/>
          <c:cat>
            <c:strRef>
              <c:f>'product by rating c and d cat'!$A$5:$A$8</c:f>
              <c:strCache>
                <c:ptCount val="3"/>
                <c:pt idx="0">
                  <c:v>Average</c:v>
                </c:pt>
                <c:pt idx="1">
                  <c:v>Excellent</c:v>
                </c:pt>
                <c:pt idx="2">
                  <c:v>Poor</c:v>
                </c:pt>
              </c:strCache>
            </c:strRef>
          </c:cat>
          <c:val>
            <c:numRef>
              <c:f>'product by rating c and d cat'!$C$5:$C$8</c:f>
              <c:numCache>
                <c:formatCode>General</c:formatCode>
                <c:ptCount val="3"/>
                <c:pt idx="0">
                  <c:v>1</c:v>
                </c:pt>
                <c:pt idx="1">
                  <c:v>3</c:v>
                </c:pt>
                <c:pt idx="2">
                  <c:v>1</c:v>
                </c:pt>
              </c:numCache>
            </c:numRef>
          </c:val>
          <c:extLst>
            <c:ext xmlns:c16="http://schemas.microsoft.com/office/drawing/2014/chart" uri="{C3380CC4-5D6E-409C-BE32-E72D297353CC}">
              <c16:uniqueId val="{00000001-0E0C-488E-B93E-3A4221DEF72B}"/>
            </c:ext>
          </c:extLst>
        </c:ser>
        <c:ser>
          <c:idx val="2"/>
          <c:order val="2"/>
          <c:tx>
            <c:strRef>
              <c:f>'product by rating c and d cat'!$D$3:$D$4</c:f>
              <c:strCache>
                <c:ptCount val="1"/>
                <c:pt idx="0">
                  <c:v>Medium Discount</c:v>
                </c:pt>
              </c:strCache>
            </c:strRef>
          </c:tx>
          <c:spPr>
            <a:solidFill>
              <a:schemeClr val="accent3"/>
            </a:solidFill>
            <a:ln>
              <a:noFill/>
            </a:ln>
            <a:effectLst/>
          </c:spPr>
          <c:invertIfNegative val="0"/>
          <c:cat>
            <c:strRef>
              <c:f>'product by rating c and d cat'!$A$5:$A$8</c:f>
              <c:strCache>
                <c:ptCount val="3"/>
                <c:pt idx="0">
                  <c:v>Average</c:v>
                </c:pt>
                <c:pt idx="1">
                  <c:v>Excellent</c:v>
                </c:pt>
                <c:pt idx="2">
                  <c:v>Poor</c:v>
                </c:pt>
              </c:strCache>
            </c:strRef>
          </c:cat>
          <c:val>
            <c:numRef>
              <c:f>'product by rating c and d cat'!$D$5:$D$8</c:f>
              <c:numCache>
                <c:formatCode>General</c:formatCode>
                <c:ptCount val="3"/>
                <c:pt idx="0">
                  <c:v>3</c:v>
                </c:pt>
                <c:pt idx="1">
                  <c:v>18</c:v>
                </c:pt>
                <c:pt idx="2">
                  <c:v>1</c:v>
                </c:pt>
              </c:numCache>
            </c:numRef>
          </c:val>
          <c:extLst>
            <c:ext xmlns:c16="http://schemas.microsoft.com/office/drawing/2014/chart" uri="{C3380CC4-5D6E-409C-BE32-E72D297353CC}">
              <c16:uniqueId val="{00000002-0E0C-488E-B93E-3A4221DEF72B}"/>
            </c:ext>
          </c:extLst>
        </c:ser>
        <c:dLbls>
          <c:showLegendKey val="0"/>
          <c:showVal val="0"/>
          <c:showCatName val="0"/>
          <c:showSerName val="0"/>
          <c:showPercent val="0"/>
          <c:showBubbleSize val="0"/>
        </c:dLbls>
        <c:gapWidth val="219"/>
        <c:overlap val="-27"/>
        <c:axId val="102210687"/>
        <c:axId val="102199167"/>
      </c:barChart>
      <c:catAx>
        <c:axId val="10221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2199167"/>
        <c:crosses val="autoZero"/>
        <c:auto val="1"/>
        <c:lblAlgn val="ctr"/>
        <c:lblOffset val="100"/>
        <c:noMultiLvlLbl val="0"/>
      </c:catAx>
      <c:valAx>
        <c:axId val="10219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221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[Fully_Cleaned_Jumia_Dataset..xlsx]products against reviews and ra!PivotTable2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chemeClr val="accent2"/>
                </a:solidFill>
              </a:rPr>
              <a:t>Product performance against reviews and rating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'products against reviews and ra'!$B$3</c:f>
              <c:strCache>
                <c:ptCount val="1"/>
                <c:pt idx="0">
                  <c:v>Average of Ratingd</c:v>
                </c:pt>
              </c:strCache>
            </c:strRef>
          </c:tx>
          <c:spPr>
            <a:ln w="28575" cap="rnd">
              <a:solidFill>
                <a:schemeClr val="accent1"/>
              </a:solidFill>
              <a:round/>
            </a:ln>
            <a:effectLst/>
          </c:spPr>
          <c:marker>
            <c:symbol val="none"/>
          </c:marker>
          <c:cat>
            <c:strRef>
              <c:f>'products against reviews and ra'!$A$4:$A$8</c:f>
              <c:strCache>
                <c:ptCount val="4"/>
                <c:pt idx="0">
                  <c:v>High Discount</c:v>
                </c:pt>
                <c:pt idx="1">
                  <c:v>Low Disount</c:v>
                </c:pt>
                <c:pt idx="2">
                  <c:v>Medium Discount</c:v>
                </c:pt>
                <c:pt idx="3">
                  <c:v>(blank)</c:v>
                </c:pt>
              </c:strCache>
            </c:strRef>
          </c:cat>
          <c:val>
            <c:numRef>
              <c:f>'products against reviews and ra'!$B$4:$B$8</c:f>
              <c:numCache>
                <c:formatCode>General</c:formatCode>
                <c:ptCount val="4"/>
                <c:pt idx="0">
                  <c:v>3.5766666666666658</c:v>
                </c:pt>
                <c:pt idx="1">
                  <c:v>3.8599999999999994</c:v>
                </c:pt>
                <c:pt idx="2">
                  <c:v>4.3142857142857149</c:v>
                </c:pt>
                <c:pt idx="3">
                  <c:v>4.5</c:v>
                </c:pt>
              </c:numCache>
            </c:numRef>
          </c:val>
          <c:smooth val="0"/>
          <c:extLst>
            <c:ext xmlns:c16="http://schemas.microsoft.com/office/drawing/2014/chart" uri="{C3380CC4-5D6E-409C-BE32-E72D297353CC}">
              <c16:uniqueId val="{00000000-9A06-4801-B408-08BBC28EB488}"/>
            </c:ext>
          </c:extLst>
        </c:ser>
        <c:ser>
          <c:idx val="1"/>
          <c:order val="1"/>
          <c:tx>
            <c:strRef>
              <c:f>'products against reviews and ra'!$C$3</c:f>
              <c:strCache>
                <c:ptCount val="1"/>
                <c:pt idx="0">
                  <c:v>Average of Review</c:v>
                </c:pt>
              </c:strCache>
            </c:strRef>
          </c:tx>
          <c:spPr>
            <a:ln w="28575" cap="rnd">
              <a:solidFill>
                <a:schemeClr val="accent2"/>
              </a:solidFill>
              <a:round/>
            </a:ln>
            <a:effectLst/>
          </c:spPr>
          <c:marker>
            <c:symbol val="none"/>
          </c:marker>
          <c:cat>
            <c:strRef>
              <c:f>'products against reviews and ra'!$A$4:$A$8</c:f>
              <c:strCache>
                <c:ptCount val="4"/>
                <c:pt idx="0">
                  <c:v>High Discount</c:v>
                </c:pt>
                <c:pt idx="1">
                  <c:v>Low Disount</c:v>
                </c:pt>
                <c:pt idx="2">
                  <c:v>Medium Discount</c:v>
                </c:pt>
                <c:pt idx="3">
                  <c:v>(blank)</c:v>
                </c:pt>
              </c:strCache>
            </c:strRef>
          </c:cat>
          <c:val>
            <c:numRef>
              <c:f>'products against reviews and ra'!$C$4:$C$8</c:f>
              <c:numCache>
                <c:formatCode>General</c:formatCode>
                <c:ptCount val="4"/>
                <c:pt idx="0">
                  <c:v>13.533333333333333</c:v>
                </c:pt>
                <c:pt idx="1">
                  <c:v>14.4</c:v>
                </c:pt>
                <c:pt idx="2">
                  <c:v>11.571428571428571</c:v>
                </c:pt>
                <c:pt idx="3">
                  <c:v>2</c:v>
                </c:pt>
              </c:numCache>
            </c:numRef>
          </c:val>
          <c:smooth val="0"/>
          <c:extLst>
            <c:ext xmlns:c16="http://schemas.microsoft.com/office/drawing/2014/chart" uri="{C3380CC4-5D6E-409C-BE32-E72D297353CC}">
              <c16:uniqueId val="{00000001-9A06-4801-B408-08BBC28EB488}"/>
            </c:ext>
          </c:extLst>
        </c:ser>
        <c:dLbls>
          <c:showLegendKey val="0"/>
          <c:showVal val="0"/>
          <c:showCatName val="0"/>
          <c:showSerName val="0"/>
          <c:showPercent val="0"/>
          <c:showBubbleSize val="0"/>
        </c:dLbls>
        <c:smooth val="0"/>
        <c:axId val="2122966735"/>
        <c:axId val="2122950895"/>
      </c:lineChart>
      <c:catAx>
        <c:axId val="212296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22950895"/>
        <c:crosses val="autoZero"/>
        <c:auto val="1"/>
        <c:lblAlgn val="ctr"/>
        <c:lblOffset val="100"/>
        <c:noMultiLvlLbl val="0"/>
      </c:catAx>
      <c:valAx>
        <c:axId val="212295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2296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[Fully_Cleaned_Jumia_Dataset..xlsx]top ten products by review,r, 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chemeClr val="accent2"/>
                </a:solidFill>
              </a:rPr>
              <a:t>Top ten products by reviews, rating</a:t>
            </a:r>
            <a:r>
              <a:rPr lang="nl-NL" baseline="0">
                <a:solidFill>
                  <a:schemeClr val="accent2"/>
                </a:solidFill>
              </a:rPr>
              <a:t> and percentage discount.</a:t>
            </a:r>
            <a:endParaRPr lang="nl-NL">
              <a:solidFill>
                <a:schemeClr val="accent2"/>
              </a:solidFill>
            </a:endParaRPr>
          </a:p>
        </c:rich>
      </c:tx>
      <c:layout>
        <c:manualLayout>
          <c:xMode val="edge"/>
          <c:yMode val="edge"/>
          <c:x val="6.5284558180227478E-2"/>
          <c:y val="0.104878119516828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ten products by review,r, d'!$B$3</c:f>
              <c:strCache>
                <c:ptCount val="1"/>
                <c:pt idx="0">
                  <c:v>Sum of Review</c:v>
                </c:pt>
              </c:strCache>
            </c:strRef>
          </c:tx>
          <c:spPr>
            <a:solidFill>
              <a:schemeClr val="accent1"/>
            </a:solidFill>
            <a:ln>
              <a:noFill/>
            </a:ln>
            <a:effectLst/>
          </c:spPr>
          <c:invertIfNegative val="0"/>
          <c:cat>
            <c:strRef>
              <c:f>'top ten products by review,r, d'!$A$4:$A$14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ten products by review,r, d'!$B$4:$B$14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AC63-474E-AB75-5D11473FED5A}"/>
            </c:ext>
          </c:extLst>
        </c:ser>
        <c:ser>
          <c:idx val="1"/>
          <c:order val="1"/>
          <c:tx>
            <c:strRef>
              <c:f>'top ten products by review,r, d'!$C$3</c:f>
              <c:strCache>
                <c:ptCount val="1"/>
                <c:pt idx="0">
                  <c:v>Sum of Ratingd</c:v>
                </c:pt>
              </c:strCache>
            </c:strRef>
          </c:tx>
          <c:spPr>
            <a:solidFill>
              <a:schemeClr val="accent2"/>
            </a:solidFill>
            <a:ln>
              <a:noFill/>
            </a:ln>
            <a:effectLst/>
          </c:spPr>
          <c:invertIfNegative val="0"/>
          <c:cat>
            <c:strRef>
              <c:f>'top ten products by review,r, d'!$A$4:$A$14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ten products by review,r, d'!$C$4:$C$14</c:f>
              <c:numCache>
                <c:formatCode>General</c:formatCode>
                <c:ptCount val="10"/>
                <c:pt idx="0">
                  <c:v>4.7</c:v>
                </c:pt>
                <c:pt idx="1">
                  <c:v>2.8</c:v>
                </c:pt>
                <c:pt idx="2">
                  <c:v>4.5999999999999996</c:v>
                </c:pt>
                <c:pt idx="3">
                  <c:v>4.5999999999999996</c:v>
                </c:pt>
                <c:pt idx="4">
                  <c:v>4.0999999999999996</c:v>
                </c:pt>
                <c:pt idx="5">
                  <c:v>4.5</c:v>
                </c:pt>
                <c:pt idx="6">
                  <c:v>4.7</c:v>
                </c:pt>
                <c:pt idx="7">
                  <c:v>4.5999999999999996</c:v>
                </c:pt>
                <c:pt idx="8">
                  <c:v>4.5999999999999996</c:v>
                </c:pt>
                <c:pt idx="9">
                  <c:v>4.3</c:v>
                </c:pt>
              </c:numCache>
            </c:numRef>
          </c:val>
          <c:extLst>
            <c:ext xmlns:c16="http://schemas.microsoft.com/office/drawing/2014/chart" uri="{C3380CC4-5D6E-409C-BE32-E72D297353CC}">
              <c16:uniqueId val="{00000001-AC63-474E-AB75-5D11473FED5A}"/>
            </c:ext>
          </c:extLst>
        </c:ser>
        <c:dLbls>
          <c:showLegendKey val="0"/>
          <c:showVal val="0"/>
          <c:showCatName val="0"/>
          <c:showSerName val="0"/>
          <c:showPercent val="0"/>
          <c:showBubbleSize val="0"/>
        </c:dLbls>
        <c:gapWidth val="219"/>
        <c:overlap val="-27"/>
        <c:axId val="102196287"/>
        <c:axId val="102186687"/>
      </c:barChart>
      <c:lineChart>
        <c:grouping val="standard"/>
        <c:varyColors val="0"/>
        <c:ser>
          <c:idx val="2"/>
          <c:order val="2"/>
          <c:tx>
            <c:strRef>
              <c:f>'top ten products by review,r, d'!$D$3</c:f>
              <c:strCache>
                <c:ptCount val="1"/>
                <c:pt idx="0">
                  <c:v>Sum of Discount</c:v>
                </c:pt>
              </c:strCache>
            </c:strRef>
          </c:tx>
          <c:spPr>
            <a:ln w="28575" cap="rnd">
              <a:solidFill>
                <a:schemeClr val="accent3"/>
              </a:solidFill>
              <a:round/>
            </a:ln>
            <a:effectLst/>
          </c:spPr>
          <c:marker>
            <c:symbol val="none"/>
          </c:marker>
          <c:cat>
            <c:strRef>
              <c:f>'top ten products by review,r, d'!$A$4:$A$14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ten products by review,r, d'!$D$4:$D$14</c:f>
              <c:numCache>
                <c:formatCode>0%</c:formatCode>
                <c:ptCount val="10"/>
                <c:pt idx="0">
                  <c:v>0.34</c:v>
                </c:pt>
                <c:pt idx="1">
                  <c:v>0.49</c:v>
                </c:pt>
                <c:pt idx="2">
                  <c:v>0.24</c:v>
                </c:pt>
                <c:pt idx="3">
                  <c:v>0.49</c:v>
                </c:pt>
                <c:pt idx="4">
                  <c:v>0.3</c:v>
                </c:pt>
                <c:pt idx="5">
                  <c:v>0.27</c:v>
                </c:pt>
                <c:pt idx="6">
                  <c:v>0.27</c:v>
                </c:pt>
                <c:pt idx="7">
                  <c:v>0.35</c:v>
                </c:pt>
                <c:pt idx="8">
                  <c:v>0.25</c:v>
                </c:pt>
                <c:pt idx="9">
                  <c:v>0.41</c:v>
                </c:pt>
              </c:numCache>
            </c:numRef>
          </c:val>
          <c:smooth val="0"/>
          <c:extLst>
            <c:ext xmlns:c16="http://schemas.microsoft.com/office/drawing/2014/chart" uri="{C3380CC4-5D6E-409C-BE32-E72D297353CC}">
              <c16:uniqueId val="{00000002-AC63-474E-AB75-5D11473FED5A}"/>
            </c:ext>
          </c:extLst>
        </c:ser>
        <c:dLbls>
          <c:showLegendKey val="0"/>
          <c:showVal val="0"/>
          <c:showCatName val="0"/>
          <c:showSerName val="0"/>
          <c:showPercent val="0"/>
          <c:showBubbleSize val="0"/>
        </c:dLbls>
        <c:marker val="1"/>
        <c:smooth val="0"/>
        <c:axId val="102196287"/>
        <c:axId val="102186687"/>
      </c:lineChart>
      <c:catAx>
        <c:axId val="10219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2186687"/>
        <c:crosses val="autoZero"/>
        <c:auto val="1"/>
        <c:lblAlgn val="ctr"/>
        <c:lblOffset val="100"/>
        <c:noMultiLvlLbl val="0"/>
      </c:catAx>
      <c:valAx>
        <c:axId val="10218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219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[Fully_Cleaned_Jumia_Dataset..xlsx]discount percentage per review!PivotTable6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Discount percentage per sum</a:t>
            </a:r>
            <a:r>
              <a:rPr lang="en-US" baseline="0">
                <a:solidFill>
                  <a:schemeClr val="accent2"/>
                </a:solidFill>
              </a:rPr>
              <a:t>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percentage per review'!$B$3</c:f>
              <c:strCache>
                <c:ptCount val="1"/>
                <c:pt idx="0">
                  <c:v>Total</c:v>
                </c:pt>
              </c:strCache>
            </c:strRef>
          </c:tx>
          <c:spPr>
            <a:ln w="28575" cap="rnd">
              <a:solidFill>
                <a:schemeClr val="accent1"/>
              </a:solidFill>
              <a:round/>
            </a:ln>
            <a:effectLst/>
          </c:spPr>
          <c:marker>
            <c:symbol val="none"/>
          </c:marker>
          <c:cat>
            <c:strRef>
              <c:f>'discount percentage per review'!$A$4:$A$11</c:f>
              <c:strCache>
                <c:ptCount val="7"/>
                <c:pt idx="0">
                  <c:v>0.01-0.11</c:v>
                </c:pt>
                <c:pt idx="1">
                  <c:v>0.11-0.21</c:v>
                </c:pt>
                <c:pt idx="2">
                  <c:v>0.21-0.31</c:v>
                </c:pt>
                <c:pt idx="3">
                  <c:v>0.31-0.41</c:v>
                </c:pt>
                <c:pt idx="4">
                  <c:v>0.41-0.51</c:v>
                </c:pt>
                <c:pt idx="5">
                  <c:v>0.51-0.61</c:v>
                </c:pt>
                <c:pt idx="6">
                  <c:v>0.61-0.71</c:v>
                </c:pt>
              </c:strCache>
            </c:strRef>
          </c:cat>
          <c:val>
            <c:numRef>
              <c:f>'discount percentage per review'!$B$4:$B$11</c:f>
              <c:numCache>
                <c:formatCode>General</c:formatCode>
                <c:ptCount val="7"/>
                <c:pt idx="0">
                  <c:v>15</c:v>
                </c:pt>
                <c:pt idx="1">
                  <c:v>35</c:v>
                </c:pt>
                <c:pt idx="2">
                  <c:v>192</c:v>
                </c:pt>
                <c:pt idx="3">
                  <c:v>147</c:v>
                </c:pt>
                <c:pt idx="4">
                  <c:v>258</c:v>
                </c:pt>
                <c:pt idx="5">
                  <c:v>76</c:v>
                </c:pt>
              </c:numCache>
            </c:numRef>
          </c:val>
          <c:smooth val="0"/>
          <c:extLst>
            <c:ext xmlns:c16="http://schemas.microsoft.com/office/drawing/2014/chart" uri="{C3380CC4-5D6E-409C-BE32-E72D297353CC}">
              <c16:uniqueId val="{00000000-D4C6-404A-A636-C7E8800C6DC9}"/>
            </c:ext>
          </c:extLst>
        </c:ser>
        <c:dLbls>
          <c:showLegendKey val="0"/>
          <c:showVal val="0"/>
          <c:showCatName val="0"/>
          <c:showSerName val="0"/>
          <c:showPercent val="0"/>
          <c:showBubbleSize val="0"/>
        </c:dLbls>
        <c:smooth val="0"/>
        <c:axId val="495385360"/>
        <c:axId val="495387760"/>
      </c:lineChart>
      <c:catAx>
        <c:axId val="49538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5387760"/>
        <c:crosses val="autoZero"/>
        <c:auto val="1"/>
        <c:lblAlgn val="ctr"/>
        <c:lblOffset val="100"/>
        <c:noMultiLvlLbl val="0"/>
      </c:catAx>
      <c:valAx>
        <c:axId val="49538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538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[Fully_Cleaned_Jumia_Dataset..xlsx]rating against reviews!PivotTable7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chemeClr val="accent2"/>
                </a:solidFill>
              </a:rPr>
              <a:t>Ratings against reviews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against reviews'!$B$3</c:f>
              <c:strCache>
                <c:ptCount val="1"/>
                <c:pt idx="0">
                  <c:v>Total</c:v>
                </c:pt>
              </c:strCache>
            </c:strRef>
          </c:tx>
          <c:spPr>
            <a:solidFill>
              <a:schemeClr val="accent1"/>
            </a:solidFill>
            <a:ln>
              <a:noFill/>
            </a:ln>
            <a:effectLst/>
          </c:spPr>
          <c:invertIfNegative val="0"/>
          <c:cat>
            <c:strRef>
              <c:f>'rating against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(blank)</c:v>
                </c:pt>
              </c:strCache>
            </c:strRef>
          </c:cat>
          <c:val>
            <c:numRef>
              <c:f>'rating against reviews'!$B$4:$B$27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EE8F-4555-B179-07CD7BF413DC}"/>
            </c:ext>
          </c:extLst>
        </c:ser>
        <c:dLbls>
          <c:showLegendKey val="0"/>
          <c:showVal val="0"/>
          <c:showCatName val="0"/>
          <c:showSerName val="0"/>
          <c:showPercent val="0"/>
          <c:showBubbleSize val="0"/>
        </c:dLbls>
        <c:gapWidth val="219"/>
        <c:overlap val="-27"/>
        <c:axId val="795095344"/>
        <c:axId val="795092944"/>
      </c:barChart>
      <c:catAx>
        <c:axId val="79509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5092944"/>
        <c:crosses val="autoZero"/>
        <c:auto val="1"/>
        <c:lblAlgn val="ctr"/>
        <c:lblOffset val="100"/>
        <c:noMultiLvlLbl val="0"/>
      </c:catAx>
      <c:valAx>
        <c:axId val="79509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509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[Fully_Cleaned_Jumia_Dataset..xlsx]rating against reviews!PivotTable7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against reviews'!$B$3</c:f>
              <c:strCache>
                <c:ptCount val="1"/>
                <c:pt idx="0">
                  <c:v>Total</c:v>
                </c:pt>
              </c:strCache>
            </c:strRef>
          </c:tx>
          <c:spPr>
            <a:ln w="28575" cap="rnd">
              <a:solidFill>
                <a:schemeClr val="accent1"/>
              </a:solidFill>
              <a:round/>
            </a:ln>
            <a:effectLst/>
          </c:spPr>
          <c:marker>
            <c:symbol val="none"/>
          </c:marker>
          <c:cat>
            <c:strRef>
              <c:f>'rating against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(blank)</c:v>
                </c:pt>
              </c:strCache>
            </c:strRef>
          </c:cat>
          <c:val>
            <c:numRef>
              <c:f>'rating against reviews'!$B$4:$B$27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smooth val="0"/>
          <c:extLst>
            <c:ext xmlns:c16="http://schemas.microsoft.com/office/drawing/2014/chart" uri="{C3380CC4-5D6E-409C-BE32-E72D297353CC}">
              <c16:uniqueId val="{00000000-D029-4E47-823F-5B5C77A297AD}"/>
            </c:ext>
          </c:extLst>
        </c:ser>
        <c:dLbls>
          <c:showLegendKey val="0"/>
          <c:showVal val="0"/>
          <c:showCatName val="0"/>
          <c:showSerName val="0"/>
          <c:showPercent val="0"/>
          <c:showBubbleSize val="0"/>
        </c:dLbls>
        <c:smooth val="0"/>
        <c:axId val="2122971535"/>
        <c:axId val="2122974415"/>
      </c:lineChart>
      <c:catAx>
        <c:axId val="212297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22974415"/>
        <c:crosses val="autoZero"/>
        <c:auto val="1"/>
        <c:lblAlgn val="ctr"/>
        <c:lblOffset val="100"/>
        <c:noMultiLvlLbl val="0"/>
      </c:catAx>
      <c:valAx>
        <c:axId val="212297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2297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[Fully_Cleaned_Jumia_Dataset..xlsx]products against reviews and ra!PivotTable2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chemeClr val="accent2"/>
                </a:solidFill>
              </a:rPr>
              <a:t>Product performance against reviews and rating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'products against reviews and ra'!$B$3</c:f>
              <c:strCache>
                <c:ptCount val="1"/>
                <c:pt idx="0">
                  <c:v>Average of Ratingd</c:v>
                </c:pt>
              </c:strCache>
            </c:strRef>
          </c:tx>
          <c:spPr>
            <a:ln w="28575" cap="rnd">
              <a:solidFill>
                <a:schemeClr val="accent1"/>
              </a:solidFill>
              <a:round/>
            </a:ln>
            <a:effectLst/>
          </c:spPr>
          <c:marker>
            <c:symbol val="none"/>
          </c:marker>
          <c:cat>
            <c:strRef>
              <c:f>'products against reviews and ra'!$A$4:$A$8</c:f>
              <c:strCache>
                <c:ptCount val="4"/>
                <c:pt idx="0">
                  <c:v>High Discount</c:v>
                </c:pt>
                <c:pt idx="1">
                  <c:v>Low Disount</c:v>
                </c:pt>
                <c:pt idx="2">
                  <c:v>Medium Discount</c:v>
                </c:pt>
                <c:pt idx="3">
                  <c:v>(blank)</c:v>
                </c:pt>
              </c:strCache>
            </c:strRef>
          </c:cat>
          <c:val>
            <c:numRef>
              <c:f>'products against reviews and ra'!$B$4:$B$8</c:f>
              <c:numCache>
                <c:formatCode>General</c:formatCode>
                <c:ptCount val="4"/>
                <c:pt idx="0">
                  <c:v>3.5766666666666658</c:v>
                </c:pt>
                <c:pt idx="1">
                  <c:v>3.8599999999999994</c:v>
                </c:pt>
                <c:pt idx="2">
                  <c:v>4.3142857142857149</c:v>
                </c:pt>
                <c:pt idx="3">
                  <c:v>4.5</c:v>
                </c:pt>
              </c:numCache>
            </c:numRef>
          </c:val>
          <c:smooth val="0"/>
          <c:extLst>
            <c:ext xmlns:c16="http://schemas.microsoft.com/office/drawing/2014/chart" uri="{C3380CC4-5D6E-409C-BE32-E72D297353CC}">
              <c16:uniqueId val="{00000000-4637-4CBA-8BA1-87C0A3C1742C}"/>
            </c:ext>
          </c:extLst>
        </c:ser>
        <c:ser>
          <c:idx val="1"/>
          <c:order val="1"/>
          <c:tx>
            <c:strRef>
              <c:f>'products against reviews and ra'!$C$3</c:f>
              <c:strCache>
                <c:ptCount val="1"/>
                <c:pt idx="0">
                  <c:v>Average of Review</c:v>
                </c:pt>
              </c:strCache>
            </c:strRef>
          </c:tx>
          <c:spPr>
            <a:ln w="28575" cap="rnd">
              <a:solidFill>
                <a:schemeClr val="accent2"/>
              </a:solidFill>
              <a:round/>
            </a:ln>
            <a:effectLst/>
          </c:spPr>
          <c:marker>
            <c:symbol val="none"/>
          </c:marker>
          <c:cat>
            <c:strRef>
              <c:f>'products against reviews and ra'!$A$4:$A$8</c:f>
              <c:strCache>
                <c:ptCount val="4"/>
                <c:pt idx="0">
                  <c:v>High Discount</c:v>
                </c:pt>
                <c:pt idx="1">
                  <c:v>Low Disount</c:v>
                </c:pt>
                <c:pt idx="2">
                  <c:v>Medium Discount</c:v>
                </c:pt>
                <c:pt idx="3">
                  <c:v>(blank)</c:v>
                </c:pt>
              </c:strCache>
            </c:strRef>
          </c:cat>
          <c:val>
            <c:numRef>
              <c:f>'products against reviews and ra'!$C$4:$C$8</c:f>
              <c:numCache>
                <c:formatCode>General</c:formatCode>
                <c:ptCount val="4"/>
                <c:pt idx="0">
                  <c:v>13.533333333333333</c:v>
                </c:pt>
                <c:pt idx="1">
                  <c:v>14.4</c:v>
                </c:pt>
                <c:pt idx="2">
                  <c:v>11.571428571428571</c:v>
                </c:pt>
                <c:pt idx="3">
                  <c:v>2</c:v>
                </c:pt>
              </c:numCache>
            </c:numRef>
          </c:val>
          <c:smooth val="0"/>
          <c:extLst>
            <c:ext xmlns:c16="http://schemas.microsoft.com/office/drawing/2014/chart" uri="{C3380CC4-5D6E-409C-BE32-E72D297353CC}">
              <c16:uniqueId val="{00000001-4637-4CBA-8BA1-87C0A3C1742C}"/>
            </c:ext>
          </c:extLst>
        </c:ser>
        <c:dLbls>
          <c:showLegendKey val="0"/>
          <c:showVal val="0"/>
          <c:showCatName val="0"/>
          <c:showSerName val="0"/>
          <c:showPercent val="0"/>
          <c:showBubbleSize val="0"/>
        </c:dLbls>
        <c:smooth val="0"/>
        <c:axId val="2122966735"/>
        <c:axId val="2122950895"/>
      </c:lineChart>
      <c:catAx>
        <c:axId val="212296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22950895"/>
        <c:crosses val="autoZero"/>
        <c:auto val="1"/>
        <c:lblAlgn val="ctr"/>
        <c:lblOffset val="100"/>
        <c:noMultiLvlLbl val="0"/>
      </c:catAx>
      <c:valAx>
        <c:axId val="212295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2296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[Fully_Cleaned_Jumia_Dataset..xlsx]top ten products by review,r, 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chemeClr val="accent2"/>
                </a:solidFill>
              </a:rPr>
              <a:t>Top ten products by reviews, rating</a:t>
            </a:r>
            <a:r>
              <a:rPr lang="nl-NL" baseline="0">
                <a:solidFill>
                  <a:schemeClr val="accent2"/>
                </a:solidFill>
              </a:rPr>
              <a:t> and percentage discount.</a:t>
            </a:r>
            <a:endParaRPr lang="nl-NL">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ten products by review,r, d'!$B$3</c:f>
              <c:strCache>
                <c:ptCount val="1"/>
                <c:pt idx="0">
                  <c:v>Sum of Review</c:v>
                </c:pt>
              </c:strCache>
            </c:strRef>
          </c:tx>
          <c:spPr>
            <a:solidFill>
              <a:schemeClr val="accent1"/>
            </a:solidFill>
            <a:ln>
              <a:noFill/>
            </a:ln>
            <a:effectLst/>
          </c:spPr>
          <c:invertIfNegative val="0"/>
          <c:cat>
            <c:strRef>
              <c:f>'top ten products by review,r, d'!$A$4:$A$14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ten products by review,r, d'!$B$4:$B$14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DA42-4BCF-B683-D911543C54C2}"/>
            </c:ext>
          </c:extLst>
        </c:ser>
        <c:ser>
          <c:idx val="1"/>
          <c:order val="1"/>
          <c:tx>
            <c:strRef>
              <c:f>'top ten products by review,r, d'!$C$3</c:f>
              <c:strCache>
                <c:ptCount val="1"/>
                <c:pt idx="0">
                  <c:v>Sum of Ratingd</c:v>
                </c:pt>
              </c:strCache>
            </c:strRef>
          </c:tx>
          <c:spPr>
            <a:solidFill>
              <a:schemeClr val="accent2"/>
            </a:solidFill>
            <a:ln>
              <a:noFill/>
            </a:ln>
            <a:effectLst/>
          </c:spPr>
          <c:invertIfNegative val="0"/>
          <c:cat>
            <c:strRef>
              <c:f>'top ten products by review,r, d'!$A$4:$A$14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ten products by review,r, d'!$C$4:$C$14</c:f>
              <c:numCache>
                <c:formatCode>General</c:formatCode>
                <c:ptCount val="10"/>
                <c:pt idx="0">
                  <c:v>4.7</c:v>
                </c:pt>
                <c:pt idx="1">
                  <c:v>2.8</c:v>
                </c:pt>
                <c:pt idx="2">
                  <c:v>4.5999999999999996</c:v>
                </c:pt>
                <c:pt idx="3">
                  <c:v>4.5999999999999996</c:v>
                </c:pt>
                <c:pt idx="4">
                  <c:v>4.0999999999999996</c:v>
                </c:pt>
                <c:pt idx="5">
                  <c:v>4.5</c:v>
                </c:pt>
                <c:pt idx="6">
                  <c:v>4.7</c:v>
                </c:pt>
                <c:pt idx="7">
                  <c:v>4.5999999999999996</c:v>
                </c:pt>
                <c:pt idx="8">
                  <c:v>4.5999999999999996</c:v>
                </c:pt>
                <c:pt idx="9">
                  <c:v>4.3</c:v>
                </c:pt>
              </c:numCache>
            </c:numRef>
          </c:val>
          <c:extLst>
            <c:ext xmlns:c16="http://schemas.microsoft.com/office/drawing/2014/chart" uri="{C3380CC4-5D6E-409C-BE32-E72D297353CC}">
              <c16:uniqueId val="{00000001-DA42-4BCF-B683-D911543C54C2}"/>
            </c:ext>
          </c:extLst>
        </c:ser>
        <c:dLbls>
          <c:showLegendKey val="0"/>
          <c:showVal val="0"/>
          <c:showCatName val="0"/>
          <c:showSerName val="0"/>
          <c:showPercent val="0"/>
          <c:showBubbleSize val="0"/>
        </c:dLbls>
        <c:gapWidth val="219"/>
        <c:overlap val="-27"/>
        <c:axId val="102196287"/>
        <c:axId val="102186687"/>
      </c:barChart>
      <c:lineChart>
        <c:grouping val="standard"/>
        <c:varyColors val="0"/>
        <c:ser>
          <c:idx val="2"/>
          <c:order val="2"/>
          <c:tx>
            <c:strRef>
              <c:f>'top ten products by review,r, d'!$D$3</c:f>
              <c:strCache>
                <c:ptCount val="1"/>
                <c:pt idx="0">
                  <c:v>Sum of Discount</c:v>
                </c:pt>
              </c:strCache>
            </c:strRef>
          </c:tx>
          <c:spPr>
            <a:ln w="28575" cap="rnd">
              <a:solidFill>
                <a:schemeClr val="accent3"/>
              </a:solidFill>
              <a:round/>
            </a:ln>
            <a:effectLst/>
          </c:spPr>
          <c:marker>
            <c:symbol val="none"/>
          </c:marker>
          <c:cat>
            <c:strRef>
              <c:f>'top ten products by review,r, d'!$A$4:$A$14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ten products by review,r, d'!$D$4:$D$14</c:f>
              <c:numCache>
                <c:formatCode>0%</c:formatCode>
                <c:ptCount val="10"/>
                <c:pt idx="0">
                  <c:v>0.34</c:v>
                </c:pt>
                <c:pt idx="1">
                  <c:v>0.49</c:v>
                </c:pt>
                <c:pt idx="2">
                  <c:v>0.24</c:v>
                </c:pt>
                <c:pt idx="3">
                  <c:v>0.49</c:v>
                </c:pt>
                <c:pt idx="4">
                  <c:v>0.3</c:v>
                </c:pt>
                <c:pt idx="5">
                  <c:v>0.27</c:v>
                </c:pt>
                <c:pt idx="6">
                  <c:v>0.27</c:v>
                </c:pt>
                <c:pt idx="7">
                  <c:v>0.35</c:v>
                </c:pt>
                <c:pt idx="8">
                  <c:v>0.25</c:v>
                </c:pt>
                <c:pt idx="9">
                  <c:v>0.41</c:v>
                </c:pt>
              </c:numCache>
            </c:numRef>
          </c:val>
          <c:smooth val="0"/>
          <c:extLst>
            <c:ext xmlns:c16="http://schemas.microsoft.com/office/drawing/2014/chart" uri="{C3380CC4-5D6E-409C-BE32-E72D297353CC}">
              <c16:uniqueId val="{00000002-DA42-4BCF-B683-D911543C54C2}"/>
            </c:ext>
          </c:extLst>
        </c:ser>
        <c:dLbls>
          <c:showLegendKey val="0"/>
          <c:showVal val="0"/>
          <c:showCatName val="0"/>
          <c:showSerName val="0"/>
          <c:showPercent val="0"/>
          <c:showBubbleSize val="0"/>
        </c:dLbls>
        <c:marker val="1"/>
        <c:smooth val="0"/>
        <c:axId val="102196287"/>
        <c:axId val="102186687"/>
      </c:lineChart>
      <c:catAx>
        <c:axId val="10219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2186687"/>
        <c:crosses val="autoZero"/>
        <c:auto val="1"/>
        <c:lblAlgn val="ctr"/>
        <c:lblOffset val="100"/>
        <c:noMultiLvlLbl val="0"/>
      </c:catAx>
      <c:valAx>
        <c:axId val="10218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219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[Fully_Cleaned_Jumia_Dataset..xlsx]product by rating c and d cat!PivotTable5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rating c and d cat'!$B$3:$B$4</c:f>
              <c:strCache>
                <c:ptCount val="1"/>
                <c:pt idx="0">
                  <c:v>High Discount</c:v>
                </c:pt>
              </c:strCache>
            </c:strRef>
          </c:tx>
          <c:spPr>
            <a:solidFill>
              <a:schemeClr val="accent1"/>
            </a:solidFill>
            <a:ln>
              <a:noFill/>
            </a:ln>
            <a:effectLst/>
          </c:spPr>
          <c:invertIfNegative val="0"/>
          <c:cat>
            <c:strRef>
              <c:f>'product by rating c and d cat'!$A$5:$A$8</c:f>
              <c:strCache>
                <c:ptCount val="3"/>
                <c:pt idx="0">
                  <c:v>Average</c:v>
                </c:pt>
                <c:pt idx="1">
                  <c:v>Excellent</c:v>
                </c:pt>
                <c:pt idx="2">
                  <c:v>Poor</c:v>
                </c:pt>
              </c:strCache>
            </c:strRef>
          </c:cat>
          <c:val>
            <c:numRef>
              <c:f>'product by rating c and d cat'!$B$5:$B$8</c:f>
              <c:numCache>
                <c:formatCode>General</c:formatCode>
                <c:ptCount val="3"/>
                <c:pt idx="0">
                  <c:v>5</c:v>
                </c:pt>
                <c:pt idx="1">
                  <c:v>16</c:v>
                </c:pt>
                <c:pt idx="2">
                  <c:v>10</c:v>
                </c:pt>
              </c:numCache>
            </c:numRef>
          </c:val>
          <c:extLst>
            <c:ext xmlns:c16="http://schemas.microsoft.com/office/drawing/2014/chart" uri="{C3380CC4-5D6E-409C-BE32-E72D297353CC}">
              <c16:uniqueId val="{00000000-83DC-47AA-A86E-A5BCCFD8209A}"/>
            </c:ext>
          </c:extLst>
        </c:ser>
        <c:ser>
          <c:idx val="1"/>
          <c:order val="1"/>
          <c:tx>
            <c:strRef>
              <c:f>'product by rating c and d cat'!$C$3:$C$4</c:f>
              <c:strCache>
                <c:ptCount val="1"/>
                <c:pt idx="0">
                  <c:v>Low Disount</c:v>
                </c:pt>
              </c:strCache>
            </c:strRef>
          </c:tx>
          <c:spPr>
            <a:solidFill>
              <a:schemeClr val="accent2"/>
            </a:solidFill>
            <a:ln>
              <a:noFill/>
            </a:ln>
            <a:effectLst/>
          </c:spPr>
          <c:invertIfNegative val="0"/>
          <c:cat>
            <c:strRef>
              <c:f>'product by rating c and d cat'!$A$5:$A$8</c:f>
              <c:strCache>
                <c:ptCount val="3"/>
                <c:pt idx="0">
                  <c:v>Average</c:v>
                </c:pt>
                <c:pt idx="1">
                  <c:v>Excellent</c:v>
                </c:pt>
                <c:pt idx="2">
                  <c:v>Poor</c:v>
                </c:pt>
              </c:strCache>
            </c:strRef>
          </c:cat>
          <c:val>
            <c:numRef>
              <c:f>'product by rating c and d cat'!$C$5:$C$8</c:f>
              <c:numCache>
                <c:formatCode>General</c:formatCode>
                <c:ptCount val="3"/>
                <c:pt idx="0">
                  <c:v>1</c:v>
                </c:pt>
                <c:pt idx="1">
                  <c:v>3</c:v>
                </c:pt>
                <c:pt idx="2">
                  <c:v>1</c:v>
                </c:pt>
              </c:numCache>
            </c:numRef>
          </c:val>
          <c:extLst>
            <c:ext xmlns:c16="http://schemas.microsoft.com/office/drawing/2014/chart" uri="{C3380CC4-5D6E-409C-BE32-E72D297353CC}">
              <c16:uniqueId val="{00000008-83DC-47AA-A86E-A5BCCFD8209A}"/>
            </c:ext>
          </c:extLst>
        </c:ser>
        <c:ser>
          <c:idx val="2"/>
          <c:order val="2"/>
          <c:tx>
            <c:strRef>
              <c:f>'product by rating c and d cat'!$D$3:$D$4</c:f>
              <c:strCache>
                <c:ptCount val="1"/>
                <c:pt idx="0">
                  <c:v>Medium Discount</c:v>
                </c:pt>
              </c:strCache>
            </c:strRef>
          </c:tx>
          <c:spPr>
            <a:solidFill>
              <a:schemeClr val="accent3"/>
            </a:solidFill>
            <a:ln>
              <a:noFill/>
            </a:ln>
            <a:effectLst/>
          </c:spPr>
          <c:invertIfNegative val="0"/>
          <c:cat>
            <c:strRef>
              <c:f>'product by rating c and d cat'!$A$5:$A$8</c:f>
              <c:strCache>
                <c:ptCount val="3"/>
                <c:pt idx="0">
                  <c:v>Average</c:v>
                </c:pt>
                <c:pt idx="1">
                  <c:v>Excellent</c:v>
                </c:pt>
                <c:pt idx="2">
                  <c:v>Poor</c:v>
                </c:pt>
              </c:strCache>
            </c:strRef>
          </c:cat>
          <c:val>
            <c:numRef>
              <c:f>'product by rating c and d cat'!$D$5:$D$8</c:f>
              <c:numCache>
                <c:formatCode>General</c:formatCode>
                <c:ptCount val="3"/>
                <c:pt idx="0">
                  <c:v>3</c:v>
                </c:pt>
                <c:pt idx="1">
                  <c:v>18</c:v>
                </c:pt>
                <c:pt idx="2">
                  <c:v>1</c:v>
                </c:pt>
              </c:numCache>
            </c:numRef>
          </c:val>
          <c:extLst>
            <c:ext xmlns:c16="http://schemas.microsoft.com/office/drawing/2014/chart" uri="{C3380CC4-5D6E-409C-BE32-E72D297353CC}">
              <c16:uniqueId val="{00000009-83DC-47AA-A86E-A5BCCFD8209A}"/>
            </c:ext>
          </c:extLst>
        </c:ser>
        <c:dLbls>
          <c:showLegendKey val="0"/>
          <c:showVal val="0"/>
          <c:showCatName val="0"/>
          <c:showSerName val="0"/>
          <c:showPercent val="0"/>
          <c:showBubbleSize val="0"/>
        </c:dLbls>
        <c:gapWidth val="219"/>
        <c:overlap val="-27"/>
        <c:axId val="102210687"/>
        <c:axId val="102199167"/>
      </c:barChart>
      <c:catAx>
        <c:axId val="10221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2199167"/>
        <c:crosses val="autoZero"/>
        <c:auto val="1"/>
        <c:lblAlgn val="ctr"/>
        <c:lblOffset val="100"/>
        <c:noMultiLvlLbl val="0"/>
      </c:catAx>
      <c:valAx>
        <c:axId val="10219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221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14</xdr:col>
      <xdr:colOff>60960</xdr:colOff>
      <xdr:row>0</xdr:row>
      <xdr:rowOff>83820</xdr:rowOff>
    </xdr:from>
    <xdr:to>
      <xdr:col>24</xdr:col>
      <xdr:colOff>327660</xdr:colOff>
      <xdr:row>3</xdr:row>
      <xdr:rowOff>60960</xdr:rowOff>
    </xdr:to>
    <xdr:sp macro="" textlink="">
      <xdr:nvSpPr>
        <xdr:cNvPr id="2" name="Rectangle: Rounded Corners 1">
          <a:extLst>
            <a:ext uri="{FF2B5EF4-FFF2-40B4-BE49-F238E27FC236}">
              <a16:creationId xmlns:a16="http://schemas.microsoft.com/office/drawing/2014/main" id="{DE207765-0B9C-973B-A227-125E07900CAF}"/>
            </a:ext>
          </a:extLst>
        </xdr:cNvPr>
        <xdr:cNvSpPr/>
      </xdr:nvSpPr>
      <xdr:spPr>
        <a:xfrm>
          <a:off x="8595360" y="83820"/>
          <a:ext cx="6362700" cy="5257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r>
            <a:rPr lang="en-US" sz="2000" b="1" cap="none" spc="0">
              <a:ln/>
              <a:solidFill>
                <a:schemeClr val="accent4"/>
              </a:solidFill>
              <a:effectLst/>
            </a:rPr>
            <a:t>JUMIA</a:t>
          </a:r>
          <a:r>
            <a:rPr lang="en-US" sz="2000" b="1" cap="none" spc="0" baseline="0">
              <a:ln/>
              <a:solidFill>
                <a:schemeClr val="accent4"/>
              </a:solidFill>
              <a:effectLst/>
            </a:rPr>
            <a:t> SALES INTERACTIVE AND ANALYTICS  DASHBOARD</a:t>
          </a:r>
          <a:endParaRPr lang="en-KE" sz="2000" b="1" cap="none" spc="0">
            <a:ln/>
            <a:solidFill>
              <a:schemeClr val="accent4"/>
            </a:solidFill>
            <a:effectLst/>
          </a:endParaRPr>
        </a:p>
      </xdr:txBody>
    </xdr:sp>
    <xdr:clientData/>
  </xdr:twoCellAnchor>
  <xdr:twoCellAnchor>
    <xdr:from>
      <xdr:col>10</xdr:col>
      <xdr:colOff>548640</xdr:colOff>
      <xdr:row>5</xdr:row>
      <xdr:rowOff>45720</xdr:rowOff>
    </xdr:from>
    <xdr:to>
      <xdr:col>14</xdr:col>
      <xdr:colOff>350520</xdr:colOff>
      <xdr:row>8</xdr:row>
      <xdr:rowOff>22860</xdr:rowOff>
    </xdr:to>
    <xdr:sp macro="" textlink="">
      <xdr:nvSpPr>
        <xdr:cNvPr id="3" name="Rectangle: Rounded Corners 2">
          <a:extLst>
            <a:ext uri="{FF2B5EF4-FFF2-40B4-BE49-F238E27FC236}">
              <a16:creationId xmlns:a16="http://schemas.microsoft.com/office/drawing/2014/main" id="{901FDEAC-10DB-47AF-8ECB-23450CBBF30F}"/>
            </a:ext>
          </a:extLst>
        </xdr:cNvPr>
        <xdr:cNvSpPr/>
      </xdr:nvSpPr>
      <xdr:spPr>
        <a:xfrm>
          <a:off x="6644640" y="960120"/>
          <a:ext cx="2240280" cy="5257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r>
            <a:rPr lang="en-US" sz="1100" b="1" cap="none" spc="0">
              <a:ln/>
              <a:solidFill>
                <a:schemeClr val="accent4"/>
              </a:solidFill>
              <a:effectLst/>
            </a:rPr>
            <a:t>Total products</a:t>
          </a:r>
        </a:p>
        <a:p>
          <a:pPr algn="l"/>
          <a:r>
            <a:rPr lang="en-US" sz="1100" b="1" cap="none" spc="0">
              <a:ln/>
              <a:solidFill>
                <a:schemeClr val="accent4"/>
              </a:solidFill>
              <a:effectLst/>
            </a:rPr>
            <a:t>112</a:t>
          </a:r>
          <a:endParaRPr lang="en-KE" sz="1100" b="1" cap="none" spc="0">
            <a:ln/>
            <a:solidFill>
              <a:schemeClr val="accent4"/>
            </a:solidFill>
            <a:effectLst/>
          </a:endParaRPr>
        </a:p>
      </xdr:txBody>
    </xdr:sp>
    <xdr:clientData/>
  </xdr:twoCellAnchor>
  <xdr:twoCellAnchor>
    <xdr:from>
      <xdr:col>16</xdr:col>
      <xdr:colOff>68580</xdr:colOff>
      <xdr:row>5</xdr:row>
      <xdr:rowOff>45720</xdr:rowOff>
    </xdr:from>
    <xdr:to>
      <xdr:col>19</xdr:col>
      <xdr:colOff>480060</xdr:colOff>
      <xdr:row>8</xdr:row>
      <xdr:rowOff>22860</xdr:rowOff>
    </xdr:to>
    <xdr:sp macro="" textlink="">
      <xdr:nvSpPr>
        <xdr:cNvPr id="4" name="Rectangle: Rounded Corners 3">
          <a:extLst>
            <a:ext uri="{FF2B5EF4-FFF2-40B4-BE49-F238E27FC236}">
              <a16:creationId xmlns:a16="http://schemas.microsoft.com/office/drawing/2014/main" id="{F1680763-C1EE-46C1-A0F5-68FB82362D57}"/>
            </a:ext>
          </a:extLst>
        </xdr:cNvPr>
        <xdr:cNvSpPr/>
      </xdr:nvSpPr>
      <xdr:spPr>
        <a:xfrm>
          <a:off x="9822180" y="960120"/>
          <a:ext cx="2240280" cy="5257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r>
            <a:rPr lang="en-US" sz="1100" b="1" cap="none" spc="0">
              <a:ln/>
              <a:solidFill>
                <a:schemeClr val="accent4"/>
              </a:solidFill>
              <a:effectLst/>
            </a:rPr>
            <a:t>Average Rating</a:t>
          </a:r>
          <a:br>
            <a:rPr lang="en-US" sz="1100" b="1" cap="none" spc="0">
              <a:ln/>
              <a:solidFill>
                <a:schemeClr val="accent4"/>
              </a:solidFill>
              <a:effectLst/>
            </a:rPr>
          </a:br>
          <a:r>
            <a:rPr lang="en-US" sz="1100" b="1" cap="none" spc="0">
              <a:ln/>
              <a:solidFill>
                <a:schemeClr val="accent4"/>
              </a:solidFill>
              <a:effectLst/>
            </a:rPr>
            <a:t>4</a:t>
          </a:r>
          <a:endParaRPr lang="en-KE" sz="1100" b="1" cap="none" spc="0">
            <a:ln/>
            <a:solidFill>
              <a:schemeClr val="accent4"/>
            </a:solidFill>
            <a:effectLst/>
          </a:endParaRPr>
        </a:p>
      </xdr:txBody>
    </xdr:sp>
    <xdr:clientData/>
  </xdr:twoCellAnchor>
  <xdr:twoCellAnchor>
    <xdr:from>
      <xdr:col>26</xdr:col>
      <xdr:colOff>411480</xdr:colOff>
      <xdr:row>5</xdr:row>
      <xdr:rowOff>22860</xdr:rowOff>
    </xdr:from>
    <xdr:to>
      <xdr:col>30</xdr:col>
      <xdr:colOff>213360</xdr:colOff>
      <xdr:row>8</xdr:row>
      <xdr:rowOff>0</xdr:rowOff>
    </xdr:to>
    <xdr:sp macro="" textlink="">
      <xdr:nvSpPr>
        <xdr:cNvPr id="5" name="Rectangle: Rounded Corners 4">
          <a:extLst>
            <a:ext uri="{FF2B5EF4-FFF2-40B4-BE49-F238E27FC236}">
              <a16:creationId xmlns:a16="http://schemas.microsoft.com/office/drawing/2014/main" id="{5294C836-9DE3-4C8F-90C6-606468915E64}"/>
            </a:ext>
          </a:extLst>
        </xdr:cNvPr>
        <xdr:cNvSpPr/>
      </xdr:nvSpPr>
      <xdr:spPr>
        <a:xfrm>
          <a:off x="16261080" y="937260"/>
          <a:ext cx="2240280" cy="5257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r>
            <a:rPr lang="en-US" sz="1100" b="1" cap="none" spc="0">
              <a:ln/>
              <a:solidFill>
                <a:schemeClr val="accent4"/>
              </a:solidFill>
              <a:effectLst/>
            </a:rPr>
            <a:t>Total No. of reviews</a:t>
          </a:r>
          <a:br>
            <a:rPr lang="en-US" sz="1100" b="1" cap="none" spc="0">
              <a:ln/>
              <a:solidFill>
                <a:schemeClr val="accent4"/>
              </a:solidFill>
              <a:effectLst/>
            </a:rPr>
          </a:br>
          <a:r>
            <a:rPr lang="en-US" sz="1100" b="1" cap="none" spc="0">
              <a:ln/>
              <a:solidFill>
                <a:schemeClr val="accent4"/>
              </a:solidFill>
              <a:effectLst/>
            </a:rPr>
            <a:t>723</a:t>
          </a:r>
        </a:p>
        <a:p>
          <a:pPr algn="l"/>
          <a:endParaRPr lang="en-KE" sz="1100" b="1" cap="none" spc="0">
            <a:ln/>
            <a:solidFill>
              <a:schemeClr val="accent4"/>
            </a:solidFill>
            <a:effectLst/>
          </a:endParaRPr>
        </a:p>
      </xdr:txBody>
    </xdr:sp>
    <xdr:clientData/>
  </xdr:twoCellAnchor>
  <xdr:twoCellAnchor>
    <xdr:from>
      <xdr:col>21</xdr:col>
      <xdr:colOff>228600</xdr:colOff>
      <xdr:row>5</xdr:row>
      <xdr:rowOff>15240</xdr:rowOff>
    </xdr:from>
    <xdr:to>
      <xdr:col>25</xdr:col>
      <xdr:colOff>30480</xdr:colOff>
      <xdr:row>7</xdr:row>
      <xdr:rowOff>175260</xdr:rowOff>
    </xdr:to>
    <xdr:sp macro="" textlink="">
      <xdr:nvSpPr>
        <xdr:cNvPr id="7" name="Rectangle: Rounded Corners 6">
          <a:extLst>
            <a:ext uri="{FF2B5EF4-FFF2-40B4-BE49-F238E27FC236}">
              <a16:creationId xmlns:a16="http://schemas.microsoft.com/office/drawing/2014/main" id="{9571A529-5CED-4F7C-AB7B-62E973BF68D4}"/>
            </a:ext>
          </a:extLst>
        </xdr:cNvPr>
        <xdr:cNvSpPr/>
      </xdr:nvSpPr>
      <xdr:spPr>
        <a:xfrm>
          <a:off x="13030200" y="929640"/>
          <a:ext cx="2240280" cy="5257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r>
            <a:rPr lang="en-US" sz="1100" b="1" cap="none" spc="0">
              <a:ln/>
              <a:solidFill>
                <a:schemeClr val="accent4"/>
              </a:solidFill>
              <a:effectLst/>
            </a:rPr>
            <a:t>Average discount percentage</a:t>
          </a:r>
          <a:br>
            <a:rPr lang="en-US" sz="1100" b="1" cap="none" spc="0">
              <a:ln/>
              <a:solidFill>
                <a:schemeClr val="accent4"/>
              </a:solidFill>
              <a:effectLst/>
            </a:rPr>
          </a:br>
          <a:r>
            <a:rPr lang="en-US" sz="1100" b="1" cap="none" spc="0">
              <a:ln/>
              <a:solidFill>
                <a:schemeClr val="accent4"/>
              </a:solidFill>
              <a:effectLst/>
            </a:rPr>
            <a:t>37%</a:t>
          </a:r>
          <a:endParaRPr lang="en-KE" sz="1100" b="1" cap="none" spc="0">
            <a:ln/>
            <a:solidFill>
              <a:schemeClr val="accent4"/>
            </a:solidFill>
            <a:effectLst/>
          </a:endParaRPr>
        </a:p>
      </xdr:txBody>
    </xdr:sp>
    <xdr:clientData/>
  </xdr:twoCellAnchor>
  <xdr:twoCellAnchor>
    <xdr:from>
      <xdr:col>16</xdr:col>
      <xdr:colOff>182880</xdr:colOff>
      <xdr:row>9</xdr:row>
      <xdr:rowOff>160020</xdr:rowOff>
    </xdr:from>
    <xdr:to>
      <xdr:col>23</xdr:col>
      <xdr:colOff>487680</xdr:colOff>
      <xdr:row>24</xdr:row>
      <xdr:rowOff>160020</xdr:rowOff>
    </xdr:to>
    <xdr:graphicFrame macro="">
      <xdr:nvGraphicFramePr>
        <xdr:cNvPr id="8" name="Chart 7">
          <a:extLst>
            <a:ext uri="{FF2B5EF4-FFF2-40B4-BE49-F238E27FC236}">
              <a16:creationId xmlns:a16="http://schemas.microsoft.com/office/drawing/2014/main" id="{D3A0B611-EEC0-4493-B77C-6B7F2A70B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419100</xdr:colOff>
      <xdr:row>9</xdr:row>
      <xdr:rowOff>167640</xdr:rowOff>
    </xdr:from>
    <xdr:to>
      <xdr:col>16</xdr:col>
      <xdr:colOff>114300</xdr:colOff>
      <xdr:row>24</xdr:row>
      <xdr:rowOff>167640</xdr:rowOff>
    </xdr:to>
    <xdr:graphicFrame macro="">
      <xdr:nvGraphicFramePr>
        <xdr:cNvPr id="9" name="Chart 8">
          <a:extLst>
            <a:ext uri="{FF2B5EF4-FFF2-40B4-BE49-F238E27FC236}">
              <a16:creationId xmlns:a16="http://schemas.microsoft.com/office/drawing/2014/main" id="{0E80E0A7-7690-4C95-BF5F-47574F4DE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563880</xdr:colOff>
      <xdr:row>9</xdr:row>
      <xdr:rowOff>160020</xdr:rowOff>
    </xdr:from>
    <xdr:to>
      <xdr:col>32</xdr:col>
      <xdr:colOff>236220</xdr:colOff>
      <xdr:row>24</xdr:row>
      <xdr:rowOff>160020</xdr:rowOff>
    </xdr:to>
    <xdr:graphicFrame macro="">
      <xdr:nvGraphicFramePr>
        <xdr:cNvPr id="10" name="Chart 9">
          <a:extLst>
            <a:ext uri="{FF2B5EF4-FFF2-40B4-BE49-F238E27FC236}">
              <a16:creationId xmlns:a16="http://schemas.microsoft.com/office/drawing/2014/main" id="{187E3BA2-66C9-4277-9E2A-5B7AD5B30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236220</xdr:colOff>
      <xdr:row>25</xdr:row>
      <xdr:rowOff>60960</xdr:rowOff>
    </xdr:from>
    <xdr:to>
      <xdr:col>19</xdr:col>
      <xdr:colOff>541020</xdr:colOff>
      <xdr:row>40</xdr:row>
      <xdr:rowOff>60960</xdr:rowOff>
    </xdr:to>
    <xdr:graphicFrame macro="">
      <xdr:nvGraphicFramePr>
        <xdr:cNvPr id="11" name="Chart 10">
          <a:extLst>
            <a:ext uri="{FF2B5EF4-FFF2-40B4-BE49-F238E27FC236}">
              <a16:creationId xmlns:a16="http://schemas.microsoft.com/office/drawing/2014/main" id="{B626B4F9-173E-45AA-AF04-34D675E88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15240</xdr:colOff>
      <xdr:row>25</xdr:row>
      <xdr:rowOff>60960</xdr:rowOff>
    </xdr:from>
    <xdr:to>
      <xdr:col>27</xdr:col>
      <xdr:colOff>320040</xdr:colOff>
      <xdr:row>40</xdr:row>
      <xdr:rowOff>60960</xdr:rowOff>
    </xdr:to>
    <xdr:graphicFrame macro="">
      <xdr:nvGraphicFramePr>
        <xdr:cNvPr id="12" name="Chart 11">
          <a:extLst>
            <a:ext uri="{FF2B5EF4-FFF2-40B4-BE49-F238E27FC236}">
              <a16:creationId xmlns:a16="http://schemas.microsoft.com/office/drawing/2014/main" id="{57A00EAE-79F5-48F9-9141-895B2C5E6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228600</xdr:colOff>
      <xdr:row>9</xdr:row>
      <xdr:rowOff>60960</xdr:rowOff>
    </xdr:from>
    <xdr:to>
      <xdr:col>3</xdr:col>
      <xdr:colOff>228600</xdr:colOff>
      <xdr:row>23</xdr:row>
      <xdr:rowOff>81915</xdr:rowOff>
    </xdr:to>
    <mc:AlternateContent xmlns:mc="http://schemas.openxmlformats.org/markup-compatibility/2006" xmlns:a14="http://schemas.microsoft.com/office/drawing/2010/main">
      <mc:Choice Requires="a14">
        <xdr:graphicFrame macro="">
          <xdr:nvGraphicFramePr>
            <xdr:cNvPr id="13" name="discount category 1">
              <a:extLst>
                <a:ext uri="{FF2B5EF4-FFF2-40B4-BE49-F238E27FC236}">
                  <a16:creationId xmlns:a16="http://schemas.microsoft.com/office/drawing/2014/main" id="{C2A27C0C-38C4-4232-8072-D343E9FD37D9}"/>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228600" y="1700917"/>
              <a:ext cx="1838739" cy="257199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480060</xdr:colOff>
      <xdr:row>9</xdr:row>
      <xdr:rowOff>60960</xdr:rowOff>
    </xdr:from>
    <xdr:to>
      <xdr:col>6</xdr:col>
      <xdr:colOff>480060</xdr:colOff>
      <xdr:row>23</xdr:row>
      <xdr:rowOff>81915</xdr:rowOff>
    </xdr:to>
    <mc:AlternateContent xmlns:mc="http://schemas.openxmlformats.org/markup-compatibility/2006" xmlns:a14="http://schemas.microsoft.com/office/drawing/2010/main">
      <mc:Choice Requires="a14">
        <xdr:graphicFrame macro="">
          <xdr:nvGraphicFramePr>
            <xdr:cNvPr id="14" name="Review 1">
              <a:extLst>
                <a:ext uri="{FF2B5EF4-FFF2-40B4-BE49-F238E27FC236}">
                  <a16:creationId xmlns:a16="http://schemas.microsoft.com/office/drawing/2014/main" id="{27628FFF-D4FE-4296-BC11-E5BC69431BC2}"/>
                </a:ext>
              </a:extLst>
            </xdr:cNvPr>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mlns="">
        <xdr:sp macro="" textlink="">
          <xdr:nvSpPr>
            <xdr:cNvPr id="0" name=""/>
            <xdr:cNvSpPr>
              <a:spLocks noTextEdit="1"/>
            </xdr:cNvSpPr>
          </xdr:nvSpPr>
          <xdr:spPr>
            <a:xfrm>
              <a:off x="2318799" y="1700917"/>
              <a:ext cx="1838739" cy="257199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23</xdr:row>
      <xdr:rowOff>99060</xdr:rowOff>
    </xdr:from>
    <xdr:to>
      <xdr:col>3</xdr:col>
      <xdr:colOff>220980</xdr:colOff>
      <xdr:row>37</xdr:row>
      <xdr:rowOff>104775</xdr:rowOff>
    </xdr:to>
    <mc:AlternateContent xmlns:mc="http://schemas.openxmlformats.org/markup-compatibility/2006" xmlns:a14="http://schemas.microsoft.com/office/drawing/2010/main">
      <mc:Choice Requires="a14">
        <xdr:graphicFrame macro="">
          <xdr:nvGraphicFramePr>
            <xdr:cNvPr id="15" name="Rating category 1">
              <a:extLst>
                <a:ext uri="{FF2B5EF4-FFF2-40B4-BE49-F238E27FC236}">
                  <a16:creationId xmlns:a16="http://schemas.microsoft.com/office/drawing/2014/main" id="{11F647A8-0A7B-497F-B615-A08F869DFFEE}"/>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220980" y="4290060"/>
              <a:ext cx="1838739" cy="258988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449580</xdr:colOff>
      <xdr:row>23</xdr:row>
      <xdr:rowOff>106680</xdr:rowOff>
    </xdr:from>
    <xdr:to>
      <xdr:col>6</xdr:col>
      <xdr:colOff>449580</xdr:colOff>
      <xdr:row>37</xdr:row>
      <xdr:rowOff>112395</xdr:rowOff>
    </xdr:to>
    <mc:AlternateContent xmlns:mc="http://schemas.openxmlformats.org/markup-compatibility/2006" xmlns:a14="http://schemas.microsoft.com/office/drawing/2010/main">
      <mc:Choice Requires="a14">
        <xdr:graphicFrame macro="">
          <xdr:nvGraphicFramePr>
            <xdr:cNvPr id="16" name="Ratingd 1">
              <a:extLst>
                <a:ext uri="{FF2B5EF4-FFF2-40B4-BE49-F238E27FC236}">
                  <a16:creationId xmlns:a16="http://schemas.microsoft.com/office/drawing/2014/main" id="{3228333D-F402-4B1D-B051-C97B94538501}"/>
                </a:ext>
              </a:extLst>
            </xdr:cNvPr>
            <xdr:cNvGraphicFramePr/>
          </xdr:nvGraphicFramePr>
          <xdr:xfrm>
            <a:off x="0" y="0"/>
            <a:ext cx="0" cy="0"/>
          </xdr:xfrm>
          <a:graphic>
            <a:graphicData uri="http://schemas.microsoft.com/office/drawing/2010/slicer">
              <sle:slicer xmlns:sle="http://schemas.microsoft.com/office/drawing/2010/slicer" name="Ratingd 1"/>
            </a:graphicData>
          </a:graphic>
        </xdr:graphicFrame>
      </mc:Choice>
      <mc:Fallback xmlns="">
        <xdr:sp macro="" textlink="">
          <xdr:nvSpPr>
            <xdr:cNvPr id="0" name=""/>
            <xdr:cNvSpPr>
              <a:spLocks noTextEdit="1"/>
            </xdr:cNvSpPr>
          </xdr:nvSpPr>
          <xdr:spPr>
            <a:xfrm>
              <a:off x="2288319" y="4297680"/>
              <a:ext cx="1838739" cy="258988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30480</xdr:colOff>
      <xdr:row>1</xdr:row>
      <xdr:rowOff>53340</xdr:rowOff>
    </xdr:from>
    <xdr:to>
      <xdr:col>26</xdr:col>
      <xdr:colOff>518160</xdr:colOff>
      <xdr:row>16</xdr:row>
      <xdr:rowOff>53340</xdr:rowOff>
    </xdr:to>
    <xdr:graphicFrame macro="">
      <xdr:nvGraphicFramePr>
        <xdr:cNvPr id="2" name="Chart 1">
          <a:extLst>
            <a:ext uri="{FF2B5EF4-FFF2-40B4-BE49-F238E27FC236}">
              <a16:creationId xmlns:a16="http://schemas.microsoft.com/office/drawing/2014/main" id="{00CA88A7-6263-2870-2505-899A9F5E6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213360</xdr:colOff>
      <xdr:row>12</xdr:row>
      <xdr:rowOff>137160</xdr:rowOff>
    </xdr:from>
    <xdr:to>
      <xdr:col>4</xdr:col>
      <xdr:colOff>30480</xdr:colOff>
      <xdr:row>26</xdr:row>
      <xdr:rowOff>158115</xdr:rowOff>
    </xdr:to>
    <mc:AlternateContent xmlns:mc="http://schemas.openxmlformats.org/markup-compatibility/2006" xmlns:a14="http://schemas.microsoft.com/office/drawing/2010/main">
      <mc:Choice Requires="a14">
        <xdr:graphicFrame macro="">
          <xdr:nvGraphicFramePr>
            <xdr:cNvPr id="3" name="discount category">
              <a:extLst>
                <a:ext uri="{FF2B5EF4-FFF2-40B4-BE49-F238E27FC236}">
                  <a16:creationId xmlns:a16="http://schemas.microsoft.com/office/drawing/2014/main" id="{1A4C111D-144C-7E9E-23EC-B0C7547AC89F}"/>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213360" y="233172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106680</xdr:colOff>
      <xdr:row>16</xdr:row>
      <xdr:rowOff>53340</xdr:rowOff>
    </xdr:from>
    <xdr:to>
      <xdr:col>16</xdr:col>
      <xdr:colOff>15240</xdr:colOff>
      <xdr:row>30</xdr:row>
      <xdr:rowOff>74295</xdr:rowOff>
    </xdr:to>
    <mc:AlternateContent xmlns:mc="http://schemas.openxmlformats.org/markup-compatibility/2006" xmlns:a14="http://schemas.microsoft.com/office/drawing/2010/main">
      <mc:Choice Requires="a14">
        <xdr:graphicFrame macro="">
          <xdr:nvGraphicFramePr>
            <xdr:cNvPr id="4" name="Review">
              <a:extLst>
                <a:ext uri="{FF2B5EF4-FFF2-40B4-BE49-F238E27FC236}">
                  <a16:creationId xmlns:a16="http://schemas.microsoft.com/office/drawing/2014/main" id="{8BA123FC-DDDD-F0DE-BD43-D45F4D882908}"/>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2392680" y="297942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243840</xdr:colOff>
      <xdr:row>7</xdr:row>
      <xdr:rowOff>152400</xdr:rowOff>
    </xdr:from>
    <xdr:to>
      <xdr:col>9</xdr:col>
      <xdr:colOff>548640</xdr:colOff>
      <xdr:row>22</xdr:row>
      <xdr:rowOff>152400</xdr:rowOff>
    </xdr:to>
    <xdr:graphicFrame macro="">
      <xdr:nvGraphicFramePr>
        <xdr:cNvPr id="3" name="Chart 2">
          <a:extLst>
            <a:ext uri="{FF2B5EF4-FFF2-40B4-BE49-F238E27FC236}">
              <a16:creationId xmlns:a16="http://schemas.microsoft.com/office/drawing/2014/main" id="{528840B3-D35A-55BC-F56E-6AAC0084F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8</xdr:row>
      <xdr:rowOff>0</xdr:rowOff>
    </xdr:from>
    <xdr:to>
      <xdr:col>17</xdr:col>
      <xdr:colOff>495300</xdr:colOff>
      <xdr:row>23</xdr:row>
      <xdr:rowOff>0</xdr:rowOff>
    </xdr:to>
    <xdr:graphicFrame macro="">
      <xdr:nvGraphicFramePr>
        <xdr:cNvPr id="2" name="Chart 1">
          <a:extLst>
            <a:ext uri="{FF2B5EF4-FFF2-40B4-BE49-F238E27FC236}">
              <a16:creationId xmlns:a16="http://schemas.microsoft.com/office/drawing/2014/main" id="{BE2F8307-E373-6A58-1957-E1B9AA439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487680</xdr:colOff>
      <xdr:row>24</xdr:row>
      <xdr:rowOff>22860</xdr:rowOff>
    </xdr:from>
    <xdr:to>
      <xdr:col>6</xdr:col>
      <xdr:colOff>487680</xdr:colOff>
      <xdr:row>38</xdr:row>
      <xdr:rowOff>43815</xdr:rowOff>
    </xdr:to>
    <mc:AlternateContent xmlns:mc="http://schemas.openxmlformats.org/markup-compatibility/2006" xmlns:a14="http://schemas.microsoft.com/office/drawing/2010/main">
      <mc:Choice Requires="a14">
        <xdr:graphicFrame macro="">
          <xdr:nvGraphicFramePr>
            <xdr:cNvPr id="5" name="Rating category">
              <a:extLst>
                <a:ext uri="{FF2B5EF4-FFF2-40B4-BE49-F238E27FC236}">
                  <a16:creationId xmlns:a16="http://schemas.microsoft.com/office/drawing/2014/main" id="{9D304DF7-1DA1-0530-BDEE-9442C7B8ACEC}"/>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834640" y="441198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2</xdr:row>
      <xdr:rowOff>0</xdr:rowOff>
    </xdr:from>
    <xdr:to>
      <xdr:col>11</xdr:col>
      <xdr:colOff>381000</xdr:colOff>
      <xdr:row>17</xdr:row>
      <xdr:rowOff>0</xdr:rowOff>
    </xdr:to>
    <xdr:graphicFrame macro="">
      <xdr:nvGraphicFramePr>
        <xdr:cNvPr id="2" name="Chart 1">
          <a:extLst>
            <a:ext uri="{FF2B5EF4-FFF2-40B4-BE49-F238E27FC236}">
              <a16:creationId xmlns:a16="http://schemas.microsoft.com/office/drawing/2014/main" id="{C7BFFD23-7C5C-80A7-21B9-DC7070953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876300</xdr:colOff>
      <xdr:row>10</xdr:row>
      <xdr:rowOff>106680</xdr:rowOff>
    </xdr:from>
    <xdr:to>
      <xdr:col>3</xdr:col>
      <xdr:colOff>510540</xdr:colOff>
      <xdr:row>24</xdr:row>
      <xdr:rowOff>127635</xdr:rowOff>
    </xdr:to>
    <mc:AlternateContent xmlns:mc="http://schemas.openxmlformats.org/markup-compatibility/2006" xmlns:a14="http://schemas.microsoft.com/office/drawing/2010/main">
      <mc:Choice Requires="a14">
        <xdr:graphicFrame macro="">
          <xdr:nvGraphicFramePr>
            <xdr:cNvPr id="3" name="Ratingd">
              <a:extLst>
                <a:ext uri="{FF2B5EF4-FFF2-40B4-BE49-F238E27FC236}">
                  <a16:creationId xmlns:a16="http://schemas.microsoft.com/office/drawing/2014/main" id="{13313776-BD76-8FB4-4BC1-CA4D715C7856}"/>
                </a:ext>
              </a:extLst>
            </xdr:cNvPr>
            <xdr:cNvGraphicFramePr/>
          </xdr:nvGraphicFramePr>
          <xdr:xfrm>
            <a:off x="0" y="0"/>
            <a:ext cx="0" cy="0"/>
          </xdr:xfrm>
          <a:graphic>
            <a:graphicData uri="http://schemas.microsoft.com/office/drawing/2010/slicer">
              <sle:slicer xmlns:sle="http://schemas.microsoft.com/office/drawing/2010/slicer" name="Ratingd"/>
            </a:graphicData>
          </a:graphic>
        </xdr:graphicFrame>
      </mc:Choice>
      <mc:Fallback xmlns="">
        <xdr:sp macro="" textlink="">
          <xdr:nvSpPr>
            <xdr:cNvPr id="0" name=""/>
            <xdr:cNvSpPr>
              <a:spLocks noTextEdit="1"/>
            </xdr:cNvSpPr>
          </xdr:nvSpPr>
          <xdr:spPr>
            <a:xfrm>
              <a:off x="1905000" y="193548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99060</xdr:colOff>
      <xdr:row>1</xdr:row>
      <xdr:rowOff>167640</xdr:rowOff>
    </xdr:from>
    <xdr:to>
      <xdr:col>25</xdr:col>
      <xdr:colOff>624840</xdr:colOff>
      <xdr:row>16</xdr:row>
      <xdr:rowOff>167640</xdr:rowOff>
    </xdr:to>
    <xdr:graphicFrame macro="">
      <xdr:nvGraphicFramePr>
        <xdr:cNvPr id="2" name="Chart 1">
          <a:extLst>
            <a:ext uri="{FF2B5EF4-FFF2-40B4-BE49-F238E27FC236}">
              <a16:creationId xmlns:a16="http://schemas.microsoft.com/office/drawing/2014/main" id="{95B09A5D-0319-E677-FD78-D39F072A0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106680</xdr:colOff>
      <xdr:row>2</xdr:row>
      <xdr:rowOff>91440</xdr:rowOff>
    </xdr:from>
    <xdr:to>
      <xdr:col>19</xdr:col>
      <xdr:colOff>213360</xdr:colOff>
      <xdr:row>17</xdr:row>
      <xdr:rowOff>91440</xdr:rowOff>
    </xdr:to>
    <xdr:graphicFrame macro="">
      <xdr:nvGraphicFramePr>
        <xdr:cNvPr id="4" name="Chart 3">
          <a:extLst>
            <a:ext uri="{FF2B5EF4-FFF2-40B4-BE49-F238E27FC236}">
              <a16:creationId xmlns:a16="http://schemas.microsoft.com/office/drawing/2014/main" id="{201651C4-FFC4-8D0F-9DBA-99D2322E0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2.657866319445" createdVersion="8" refreshedVersion="8" minRefreshableVersion="3" recordCount="112" xr:uid="{0155DF1D-FA9C-4406-8DB6-C687A6C61147}">
  <cacheSource type="worksheet">
    <worksheetSource ref="A1:I113" sheet="Excel_jumia_dataset"/>
  </cacheSource>
  <cacheFields count="9">
    <cacheField name="Product" numFmtId="0">
      <sharedItems count="109">
        <s v="Wall-mounted Sticker Punch-free Plug Fixer"/>
        <s v="5-PCS Stainless Steel Cooking Pot Set With Steamed Slices"/>
        <s v="Electric LED UV Mosquito Killer Lamp, Outdoor/Indoor Fly Killer Trap Light -USB"/>
        <s v="7-piece Set Of Storage Bags, Travel Storage Bags, Shoe Bags"/>
        <s v="Artificial Potted Flowers Room Decorative Flowers (2 Pieces)"/>
        <s v="380ML USB Rechargeable Portable Small Blenders And Juicers"/>
        <s v="Watercolour Gold Foil Textured Print Pillow Cover"/>
        <s v="5 Pieces/set Of Stainless Steel Induction Cooker Pots"/>
        <s v="Agapeon Toothbrush Holder And Toothpaste Dispenser"/>
        <s v="Intelligent  LED Body Sensor Wireless Lighting Night Light USB"/>
        <s v="120W Cordless Vacuum Cleaners Handheld Electric Vacuum Cleaner"/>
        <s v="VIC Wireless Vacuum Cleaner Dual Use For Home And Car 120W High Power Powerful"/>
        <s v="32PCS Portable Cordless Drill Set With Cyclic Battery Drive -26 Variable Speed"/>
        <s v="Large Lazy Inflatable Sofa Chairs PVC Lounger Seat Bag"/>
        <s v="Memory Foam Neck Pillow Cover, With Pillow Core - 50*30cm"/>
        <s v="Mythco 120COB Solar Wall Ligt With Motion Sensor And Remote Control 3 Modes"/>
        <s v="Wrought Iron Bathroom Shelf Wall Mounted Free Punch Toilet Rack"/>
        <s v="3PCS Single Head Knitting Crochet Sweater Needle Set"/>
        <s v="12 Litre Black Insulated Lunch Box"/>
        <s v="13 In 1 Home Repair Tools Box Kit Set"/>
        <s v="Portable Wardrobe Nonwoven With 3 Hanging Rods And 6 Storage Shelves"/>
        <s v="220V 60W Electric Soldering Iron Kits With Tools, Tips, And Multimeter"/>
        <s v="Desk Foldable Fan Adjustable Fan Strong Wind 3 Gear Usb"/>
        <s v="Household Pineapple Peeler Peeler"/>
        <s v="LED Romantic Spaceship Starry Sky Projector,Children's Bedroom Night Light-Blue"/>
        <s v="52 Pieces Cake Decorating Tool Set Gift Kit Baking Supplies"/>
        <s v="Genebre 115 In 1 Screwdriver Repairing Tool Set For IPhone Cellphone Hand Tool"/>
        <s v="Metal Decorative Hooks Key Hangers Entryway Wall Hooks Towel Hooks - Home"/>
        <s v="Multifunction Laser Level With Adjustment Tripod"/>
        <s v="Exfoliate And Exfoliate Face Towel - Black"/>
        <s v="LASA 3 Tier Bamboo Shoe Bench Storage Shelf"/>
        <s v="LED Eye Protection  Desk Lamp , Study, Reading, USB Fan - Double Pen Holder"/>
        <s v="Punch-free Great Load Bearing Bathroom Storage Rack Wall Shelf-White"/>
        <s v="Foldable Overbed Table/Desk"/>
        <s v="1/2/3 Seater Elastic Sofa Cover,Living Room/Home Decor Chair Cover-Grey"/>
        <s v="115  Piece Set Of Multifunctional Precision Screwdrivers"/>
        <s v="53 Pieces/Set Yarn Knitting Crochet Hooks With Bag - Pansies"/>
        <s v="LASA Digital Thermometer And Hydrometer"/>
        <s v="137 Pieces Cake Decorating Tool Set Baking Supplies"/>
        <s v="3D Waterproof EVA Plastic Shower Curtain 1.8*2Mtrs"/>
        <s v="Electronic Digital Display Vernier Caliper"/>
        <s v="LED Wall Digital Alarm Clock Study Home 12 / 24H Clock Calendar"/>
        <s v="Portable Mini Cordless Car Vacuum Cleaner - Blue"/>
        <s v="100 Pcs Crochet Hook Tool Set Knitting Hook Set With Box"/>
        <s v="12 Litre Insulated Lunch Box Grey"/>
        <s v="53Pcs/Set Yarn Knitting Crochet Hooks With Bag - Fortune Cat"/>
        <s v="Weighing Scale Digital Bathroom Body Fat Scale USB-Black"/>
        <s v="40cm Gold DIY Acrylic Wall Sticker Clock"/>
        <s v="LASA FOLDING TABLE SERVING STAND"/>
        <s v="Portable Home Small Air Humidifier 3-Speed Fan - Green"/>
        <s v="Anti-Skid Absorbent Insulation Coaster  For Home Office"/>
        <s v="Bedroom Simple Floor Hanging Clothes Rack Single Pole Hat Rack - White"/>
        <s v="Classic Black Cat Cotton Hemp Pillow Case For Home Car"/>
        <s v="DIY File Folder, Office Drawer File Holder, Pen Holder, Desktop Storage Rack"/>
        <s v="Konka Healty Electric Kettle, 24-hour Heat Preservation,1.5L,800W, White"/>
        <s v="LASA Aluminum Folding Truck Hand Cart - 68kg Max"/>
        <s v="Peacock  Throw Pillow Cushion Case For Home Car"/>
        <s v="12V 19500rpm Handheld Electric Angle Grinder Tool - UK - Yellow/Black"/>
        <s v="1PC Refrigerator Food Seal Pocket Fridge Bags"/>
        <s v="2 Pairs Cowhide Split Leather Work Gloves.32â„‰ Or Above Welding Gloves"/>
        <s v="24 Grid Wall-mounted Sundries Organiser Fabric Closet Bag Storage Rack"/>
        <s v="2PCS Ice Silk Square Cushion Cover Pillowcases - 65x65cm"/>
        <s v="2pcs Solar Street Light Flood Light Outdoor"/>
        <s v="2PCS/LOT Solar LED Outdoor Intelligent Light Controlled Wall Lamp"/>
        <s v="3PCS Rotary Scraper Thermomix For Kitchen"/>
        <s v="4 Piece Coloured Stainless Steel Kitchenware Set"/>
        <s v="4M Float Switch Water Level Controller -Water Tank"/>
        <s v="4pcs Bathroom/Kitchen Towel Rack,Roll Paper Holder,Towel Bars,Hook"/>
        <s v="5m Waterproof Spherical LED String Lights Outdoor Ball Chain Lights Party Lighting Decoration Adjustable"/>
        <s v="6 In 1 Bottle Can Opener Multifunctional Easy Opener"/>
        <s v="6 Layers Steel Pipe Assembling Dustproof Storage Shoe Cabinet"/>
        <s v="60W Hot Melt Glue Sprayer - Efficient And Stable Glue Dispensing"/>
        <s v="7PCS Silicone Thumb Knife Finger Protector Vegetable Harvesting Knife"/>
        <s v="8in1 Screwdriver With LED Light"/>
        <s v="9pcs Gas Mask, For Painting, Dust, Formaldehyde Grinding, Polishing"/>
        <s v="Angle Measuring Tool Full Metal Multi Angle Measuring Tool"/>
        <s v="Baby Early Education Shape And Color Cognitive Training Toys"/>
        <s v="Balloon Insert, Birthday Party Balloon Set, PU Leather"/>
        <s v="Black Simple Water Cup Wine Coaster Anti Slip Absorbent"/>
        <s v="Brush &amp; Paintbrush Cleaning Tool Pink"/>
        <s v="Car Phone Charging Stand"/>
        <s v="Cartoon Car Decoration Cute Individuality For Car Home Desk"/>
        <s v="Cartoon Embroidered Mini Towel Bear Cotton Wash Cloth Hand 4pcs"/>
        <s v="Christmas Elk Fence Yard Lawn Decorations Cute For Holidays"/>
        <s v="Christmas Fence Garden Decorations Outdoor For Holiday Home"/>
        <s v="Creative Owl Shape Keychain Black"/>
        <s v="Cushion Silicone Butt Cushion Summer Ice Cushion Honeycomb Gel Cushion"/>
        <s v="Cute Christmas Fence Garden Decorations For Holiday Home"/>
        <s v="LASA Stainless Steel Double Wall Mount Soap Dispenser - 500ml"/>
        <s v="LED Solar Street Light-fake Camera"/>
        <s v="Metal Wall Clock Silver Dial Crystal Jewelry Round Home Decoration Wall Clock"/>
        <s v="Modern Sofa Throw Pillow Cover-45x45cm-Blue&amp;Red"/>
        <s v="Multifunctional Hanging Storage Box Storage Bag (4 Layers)"/>
        <s v="MultiFunctional Storage Rack Multi-layer Bookshelf"/>
        <s v="Multi-purpose Rice Drainage Basket And Fruit And Vegetable Drainage Sieve"/>
        <s v="Office Chair Lumbar Back Support Spine Posture Correction Pillow Car Cushion"/>
        <s v="Outdoor Portable Water Bottle With Medicine Box - 600ML - Black"/>
        <s v="Pen Grips For Kids Pen Grip Posture Correction Tool For Kids"/>
        <s v="Pilates Cloth Bag Waterproof Durable High Capacity Purple"/>
        <s v="Portable Soap Dispenser Kitchen Detergent Press Box Kitchen Tools"/>
        <s v="Portable Wine Table With Folding Round Table"/>
        <s v="Sewing Machine Needle Threader Stitch Insertion Tool Automatic Quick Sewing"/>
        <s v="Shower Cap Wide Elastic Band Cover Reusable Bashroom Cap"/>
        <s v="Shower Nozzle Cleaning Unclogging Needle Mini Crevice Small Hole Cleaning Brush"/>
        <s v="Simple Metal Dog Art Sculpture Decoration For Home Office"/>
        <s v="Thickening Multipurpose Non Stick Easy To Clean Heat Resistant Spoon Pad"/>
        <s v="Wall Clock With Hidden Safe Box"/>
        <s v="Wall Mount Automatic Toothpaste Dispenser Toothbrush Holder Toothpaste Squeezer"/>
        <s v="Wall-Mounted Toothbrush Toothpaste Holder With Multiple Slots"/>
      </sharedItems>
    </cacheField>
    <cacheField name="Current price" numFmtId="2">
      <sharedItems containsMixedTypes="1" containsNumber="1" containsInteger="1" minValue="38" maxValue="3750"/>
    </cacheField>
    <cacheField name="old price" numFmtId="2">
      <sharedItems containsMixedTypes="1" containsNumber="1" containsInteger="1" minValue="80" maxValue="6143"/>
    </cacheField>
    <cacheField name="Discount" numFmtId="9">
      <sharedItems containsSemiMixedTypes="0" containsString="0" containsNumber="1" minValue="0.01" maxValue="0.64" count="46">
        <n v="0.5"/>
        <n v="0.55000000000000004"/>
        <n v="0.47"/>
        <n v="0.45"/>
        <n v="0.43"/>
        <n v="0.13"/>
        <n v="0.52"/>
        <n v="0.49"/>
        <n v="0.22"/>
        <n v="0.39"/>
        <n v="0.28999999999999998"/>
        <n v="0.46"/>
        <n v="0.54"/>
        <n v="0.53"/>
        <n v="0.32"/>
        <n v="0.18"/>
        <n v="0.09"/>
        <n v="0.37"/>
        <n v="0.35"/>
        <n v="0.3"/>
        <n v="0.2"/>
        <n v="0.33"/>
        <n v="0.48"/>
        <n v="0.41"/>
        <n v="0.23"/>
        <n v="0.38"/>
        <n v="0.27"/>
        <n v="0.42"/>
        <n v="0.24"/>
        <n v="0.19"/>
        <n v="0.25"/>
        <n v="0.34"/>
        <n v="0.26"/>
        <n v="0.51"/>
        <n v="0.4"/>
        <n v="0.21"/>
        <n v="0.02"/>
        <n v="0.01"/>
        <n v="0.36"/>
        <n v="0.64"/>
        <n v="0.61"/>
        <n v="0.04"/>
        <n v="0.03"/>
        <n v="0.14000000000000001"/>
        <n v="0.11"/>
        <n v="0.08"/>
      </sharedItems>
      <fieldGroup base="3">
        <rangePr autoEnd="0" startNum="0.01" endNum="1" groupInterval="0.1"/>
        <groupItems count="12">
          <s v="&lt;0.01"/>
          <s v="0.01-0.11"/>
          <s v="0.11-0.21"/>
          <s v="0.21-0.31"/>
          <s v="0.31-0.41"/>
          <s v="0.41-0.51"/>
          <s v="0.51-0.61"/>
          <s v="0.61-0.71"/>
          <s v="0.71-0.81"/>
          <s v="0.81-0.91"/>
          <s v="0.91-1.01"/>
          <s v="&gt;1.01"/>
        </groupItems>
      </fieldGroup>
    </cacheField>
    <cacheField name="Review" numFmtId="0">
      <sharedItems containsString="0" containsBlank="1" containsNumber="1" containsInteger="1" minValue="1" maxValue="69" count="24">
        <n v="1"/>
        <n v="13"/>
        <n v="7"/>
        <n v="6"/>
        <n v="17"/>
        <n v="15"/>
        <n v="69"/>
        <n v="16"/>
        <n v="5"/>
        <n v="10"/>
        <n v="12"/>
        <n v="2"/>
        <n v="20"/>
        <n v="14"/>
        <n v="9"/>
        <n v="36"/>
        <n v="32"/>
        <n v="55"/>
        <n v="44"/>
        <n v="49"/>
        <n v="24"/>
        <n v="39"/>
        <n v="3"/>
        <m/>
      </sharedItems>
    </cacheField>
    <cacheField name="Ratingd" numFmtId="0">
      <sharedItems containsString="0" containsBlank="1" containsNumber="1" minValue="2" maxValue="5" count="23">
        <n v="2"/>
        <n v="2.1"/>
        <n v="2.2000000000000002"/>
        <n v="2.2999999999999998"/>
        <n v="2.5"/>
        <n v="2.6"/>
        <n v="2.7"/>
        <n v="2.8"/>
        <n v="2.9"/>
        <n v="3"/>
        <n v="3.3"/>
        <n v="3.8"/>
        <n v="4"/>
        <n v="4.0999999999999996"/>
        <n v="4.2"/>
        <n v="4.3"/>
        <n v="4.4000000000000004"/>
        <n v="4.5"/>
        <n v="4.5999999999999996"/>
        <n v="4.7"/>
        <n v="4.8"/>
        <n v="5"/>
        <m/>
      </sharedItems>
    </cacheField>
    <cacheField name="Absolute discount" numFmtId="0">
      <sharedItems containsString="0" containsBlank="1" containsNumber="1" containsInteger="1" minValue="24" maxValue="2585"/>
    </cacheField>
    <cacheField name="Rating category" numFmtId="0">
      <sharedItems containsBlank="1" count="5">
        <s v="Excellent"/>
        <s v="Poor"/>
        <s v="Average"/>
        <m/>
        <s v=""/>
      </sharedItems>
    </cacheField>
    <cacheField name="discount category" numFmtId="0">
      <sharedItems containsBlank="1" count="4">
        <s v="High Discount"/>
        <s v="Low Disount"/>
        <s v="Medium Discount"/>
        <m/>
      </sharedItems>
    </cacheField>
  </cacheFields>
  <extLst>
    <ext xmlns:x14="http://schemas.microsoft.com/office/spreadsheetml/2009/9/main" uri="{725AE2AE-9491-48be-B2B4-4EB974FC3084}">
      <x14:pivotCacheDefinition pivotCacheId="2752918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934774768517" createdVersion="8" refreshedVersion="8" minRefreshableVersion="3" recordCount="113" xr:uid="{9A502B73-BEC8-4B13-90B8-5C2895D704C4}">
  <cacheSource type="worksheet">
    <worksheetSource ref="A1:I114" sheet="Excel_jumia_dataset"/>
  </cacheSource>
  <cacheFields count="9">
    <cacheField name="Product" numFmtId="0">
      <sharedItems containsMixedTypes="1" containsNumber="1" containsInteger="1" minValue="0" maxValue="0" count="110">
        <s v="6 In 1 Bottle Can Opener Multifunctional Easy Opener"/>
        <s v="Creative Owl Shape Keychain Black"/>
        <s v="5-PCS Stainless Steel Cooking Pot Set With Steamed Slices"/>
        <s v="LASA FOLDING TABLE SERVING STAND"/>
        <s v="Simple Metal Dog Art Sculpture Decoration For Home Office"/>
        <s v="Mythco 120COB Solar Wall Ligt With Motion Sensor And Remote Control 3 Modes"/>
        <s v="LASA 3 Tier Bamboo Shoe Bench Storage Shelf"/>
        <s v="3PCS Single Head Knitting Crochet Sweater Needle Set"/>
        <s v="Classic Black Cat Cotton Hemp Pillow Case For Home Car"/>
        <s v="Intelligent  LED Body Sensor Wireless Lighting Night Light USB"/>
        <s v="Exfoliate And Exfoliate Face Towel - Black"/>
        <s v="Anti-Skid Absorbent Insulation Coaster  For Home Office"/>
        <s v="Wall-mounted Sticker Punch-free Plug Fixer"/>
        <s v="380ML USB Rechargeable Portable Small Blenders And Juicers"/>
        <s v="2PCS Ice Silk Square Cushion Cover Pillowcases - 65x65cm"/>
        <s v="Brush &amp; Paintbrush Cleaning Tool Pink"/>
        <s v="Christmas Elk Fence Yard Lawn Decorations Cute For Holidays"/>
        <s v="Modern Sofa Throw Pillow Cover-45x45cm-Blue&amp;Red"/>
        <s v="Wall Clock With Hidden Safe Box"/>
        <s v="120W Cordless Vacuum Cleaners Handheld Electric Vacuum Cleaner"/>
        <s v="Household Pineapple Peeler Peeler"/>
        <s v="3D Waterproof EVA Plastic Shower Curtain 1.8*2Mtrs"/>
        <s v="Bedroom Simple Floor Hanging Clothes Rack Single Pole Hat Rack - White"/>
        <s v="LASA Aluminum Folding Truck Hand Cart - 68kg Max"/>
        <s v="4 Piece Coloured Stainless Steel Kitchenware Set"/>
        <s v="4M Float Switch Water Level Controller -Water Tank"/>
        <s v="7PCS Silicone Thumb Knife Finger Protector Vegetable Harvesting Knife"/>
        <s v="Angle Measuring Tool Full Metal Multi Angle Measuring Tool"/>
        <s v="Baby Early Education Shape And Color Cognitive Training Toys"/>
        <s v="Car Phone Charging Stand"/>
        <s v="Cartoon Car Decoration Cute Individuality For Car Home Desk"/>
        <s v="LED Eye Protection  Desk Lamp , Study, Reading, USB Fan - Double Pen Holder"/>
        <s v="Christmas Fence Garden Decorations Outdoor For Holiday Home"/>
        <s v="Portable Wine Table With Folding Round Table"/>
        <s v="Sewing Machine Needle Threader Stitch Insertion Tool Automatic Quick Sewing"/>
        <s v="Electric LED UV Mosquito Killer Lamp, Outdoor/Indoor Fly Killer Trap Light -USB"/>
        <s v="7-piece Set Of Storage Bags, Travel Storage Bags, Shoe Bags"/>
        <s v="Metal Decorative Hooks Key Hangers Entryway Wall Hooks Towel Hooks - Home"/>
        <s v="40cm Gold DIY Acrylic Wall Sticker Clock"/>
        <s v="2PCS/LOT Solar LED Outdoor Intelligent Light Controlled Wall Lamp"/>
        <s v="6 Layers Steel Pipe Assembling Dustproof Storage Shoe Cabinet"/>
        <s v="Black Simple Water Cup Wine Coaster Anti Slip Absorbent"/>
        <s v="Memory Foam Neck Pillow Cover, With Pillow Core - 50*30cm"/>
        <s v="Peacock  Throw Pillow Cushion Case For Home Car"/>
        <s v="MultiFunctional Storage Rack Multi-layer Bookshelf"/>
        <s v="Artificial Potted Flowers Room Decorative Flowers (2 Pieces)"/>
        <s v="Agapeon Toothbrush Holder And Toothpaste Dispenser"/>
        <s v="13 In 1 Home Repair Tools Box Kit Set"/>
        <s v="Watercolour Gold Foil Textured Print Pillow Cover"/>
        <s v="Wrought Iron Bathroom Shelf Wall Mounted Free Punch Toilet Rack"/>
        <s v="3PCS Rotary Scraper Thermomix For Kitchen"/>
        <s v="Multifunctional Hanging Storage Box Storage Bag (4 Layers)"/>
        <s v="LASA Digital Thermometer And Hydrometer"/>
        <s v="4pcs Bathroom/Kitchen Towel Rack,Roll Paper Holder,Towel Bars,Hook"/>
        <s v="8in1 Screwdriver With LED Light"/>
        <s v="Balloon Insert, Birthday Party Balloon Set, PU Leather"/>
        <s v="Punch-free Great Load Bearing Bathroom Storage Rack Wall Shelf-White"/>
        <s v="9pcs Gas Mask, For Painting, Dust, Formaldehyde Grinding, Polishing"/>
        <s v="Cute Christmas Fence Garden Decorations For Holiday Home"/>
        <s v="DIY File Folder, Office Drawer File Holder, Pen Holder, Desktop Storage Rack"/>
        <s v="32PCS Portable Cordless Drill Set With Cyclic Battery Drive -26 Variable Speed"/>
        <s v="1/2/3 Seater Elastic Sofa Cover,Living Room/Home Decor Chair Cover-Grey"/>
        <s v="115  Piece Set Of Multifunctional Precision Screwdrivers"/>
        <s v="2pcs Solar Street Light Flood Light Outdoor"/>
        <s v="LASA Stainless Steel Double Wall Mount Soap Dispenser - 500ml"/>
        <s v="Desk Foldable Fan Adjustable Fan Strong Wind 3 Gear Usb"/>
        <s v="Weighing Scale Digital Bathroom Body Fat Scale USB-Black"/>
        <s v="5m Waterproof Spherical LED String Lights Outdoor Ball Chain Lights Party Lighting Decoration Adjustable"/>
        <s v="LED Romantic Spaceship Starry Sky Projector,Children's Bedroom Night Light-Blue"/>
        <s v="Electronic Digital Display Vernier Caliper"/>
        <s v="100 Pcs Crochet Hook Tool Set Knitting Hook Set With Box"/>
        <s v="12 Litre Insulated Lunch Box Grey"/>
        <s v="Cartoon Embroidered Mini Towel Bear Cotton Wash Cloth Hand 4pcs"/>
        <s v="LED Solar Street Light-fake Camera"/>
        <s v="Multifunction Laser Level With Adjustment Tripod"/>
        <s v="60W Hot Melt Glue Sprayer - Efficient And Stable Glue Dispensing"/>
        <s v="12 Litre Black Insulated Lunch Box"/>
        <s v="52 Pieces Cake Decorating Tool Set Gift Kit Baking Supplies"/>
        <s v="Large Lazy Inflatable Sofa Chairs PVC Lounger Seat Bag"/>
        <s v="53 Pieces/Set Yarn Knitting Crochet Hooks With Bag - Pansies"/>
        <s v="53Pcs/Set Yarn Knitting Crochet Hooks With Bag - Fortune Cat"/>
        <s v="12V 19500rpm Handheld Electric Angle Grinder Tool - UK - Yellow/Black"/>
        <s v="Portable Home Small Air Humidifier 3-Speed Fan - Green"/>
        <s v="Portable Mini Cordless Car Vacuum Cleaner - Blue"/>
        <s v="137 Pieces Cake Decorating Tool Set Baking Supplies"/>
        <s v="1PC Refrigerator Food Seal Pocket Fridge Bags"/>
        <s v="Foldable Overbed Table/Desk"/>
        <s v="VIC Wireless Vacuum Cleaner Dual Use For Home And Car 120W High Power Powerful"/>
        <s v="Pilates Cloth Bag Waterproof Durable High Capacity Purple"/>
        <s v="Konka Healty Electric Kettle, 24-hour Heat Preservation,1.5L,800W, White"/>
        <s v="Genebre 115 In 1 Screwdriver Repairing Tool Set For IPhone Cellphone Hand Tool"/>
        <s v="LED Wall Digital Alarm Clock Study Home 12 / 24H Clock Calendar"/>
        <s v="Portable Wardrobe Nonwoven With 3 Hanging Rods And 6 Storage Shelves"/>
        <s v="Office Chair Lumbar Back Support Spine Posture Correction Pillow Car Cushion"/>
        <s v="Wall-Mounted Toothbrush Toothpaste Holder With Multiple Slots"/>
        <s v="5 Pieces/set Of Stainless Steel Induction Cooker Pots"/>
        <s v="Outdoor Portable Water Bottle With Medicine Box - 600ML - Black"/>
        <s v="220V 60W Electric Soldering Iron Kits With Tools, Tips, And Multimeter"/>
        <s v="Wall Mount Automatic Toothpaste Dispenser Toothbrush Holder Toothpaste Squeezer"/>
        <s v="Cushion Silicone Butt Cushion Summer Ice Cushion Honeycomb Gel Cushion"/>
        <s v="Metal Wall Clock Silver Dial Crystal Jewelry Round Home Decoration Wall Clock"/>
        <s v="Multi-purpose Rice Drainage Basket And Fruit And Vegetable Drainage Sieve"/>
        <s v="2 Pairs Cowhide Split Leather Work Gloves.32â„‰ Or Above Welding Gloves"/>
        <s v="Pen Grips For Kids Pen Grip Posture Correction Tool For Kids"/>
        <s v="Portable Soap Dispenser Kitchen Detergent Press Box Kitchen Tools"/>
        <s v="Shower Cap Wide Elastic Band Cover Reusable Bashroom Cap"/>
        <s v="Shower Nozzle Cleaning Unclogging Needle Mini Crevice Small Hole Cleaning Brush"/>
        <s v="Thickening Multipurpose Non Stick Easy To Clean Heat Resistant Spoon Pad"/>
        <s v="24 Grid Wall-mounted Sundries Organiser Fabric Closet Bag Storage Rack"/>
        <n v="0"/>
      </sharedItems>
    </cacheField>
    <cacheField name="Current price" numFmtId="2">
      <sharedItems containsString="0" containsBlank="1" containsNumber="1" containsInteger="1" minValue="38" maxValue="3750"/>
    </cacheField>
    <cacheField name="old price" numFmtId="2">
      <sharedItems containsString="0" containsBlank="1" containsNumber="1" containsInteger="1" minValue="80" maxValue="6143"/>
    </cacheField>
    <cacheField name="Discount" numFmtId="9">
      <sharedItems containsSemiMixedTypes="0" containsString="0" containsNumber="1" minValue="0.01" maxValue="0.64" count="47">
        <n v="0.64"/>
        <n v="0.61"/>
        <n v="0.55000000000000004"/>
        <n v="0.54"/>
        <n v="0.53"/>
        <n v="0.52"/>
        <n v="0.51"/>
        <n v="0.5"/>
        <n v="0.49"/>
        <n v="0.48"/>
        <n v="0.47"/>
        <n v="0.46"/>
        <n v="0.45"/>
        <n v="0.43"/>
        <n v="0.42"/>
        <n v="0.41"/>
        <n v="0.4"/>
        <n v="0.39"/>
        <n v="0.38"/>
        <n v="0.37"/>
        <n v="0.36"/>
        <n v="0.35"/>
        <n v="0.34"/>
        <n v="0.33"/>
        <n v="0.32"/>
        <n v="0.3"/>
        <n v="0.28999999999999998"/>
        <n v="0.27"/>
        <n v="0.26"/>
        <n v="0.25"/>
        <n v="0.24"/>
        <n v="0.23"/>
        <n v="0.22"/>
        <n v="0.21"/>
        <n v="0.2"/>
        <n v="0.19"/>
        <n v="0.18"/>
        <n v="0.14000000000000001"/>
        <n v="0.13"/>
        <n v="0.11"/>
        <n v="0.09"/>
        <n v="0.08"/>
        <n v="0.04"/>
        <n v="0.03"/>
        <n v="0.02"/>
        <n v="0.01"/>
        <n v="0.36776785714285737"/>
      </sharedItems>
      <fieldGroup base="3">
        <rangePr startNum="0.01" endNum="0.64" groupInterval="0.1"/>
        <groupItems count="9">
          <s v="&lt;0.01"/>
          <s v="0.01-0.11"/>
          <s v="0.11-0.21"/>
          <s v="0.21-0.31"/>
          <s v="0.31-0.41"/>
          <s v="0.41-0.51"/>
          <s v="0.51-0.61"/>
          <s v="0.61-0.71"/>
          <s v="&gt;0.71"/>
        </groupItems>
      </fieldGroup>
    </cacheField>
    <cacheField name="Review" numFmtId="0">
      <sharedItems containsString="0" containsBlank="1" containsNumber="1" containsInteger="1" minValue="1" maxValue="69" count="24">
        <m/>
        <n v="13"/>
        <n v="5"/>
        <n v="10"/>
        <n v="7"/>
        <n v="2"/>
        <n v="15"/>
        <n v="9"/>
        <n v="1"/>
        <n v="69"/>
        <n v="44"/>
        <n v="3"/>
        <n v="6"/>
        <n v="14"/>
        <n v="12"/>
        <n v="17"/>
        <n v="36"/>
        <n v="49"/>
        <n v="39"/>
        <n v="20"/>
        <n v="32"/>
        <n v="24"/>
        <n v="55"/>
        <n v="16"/>
      </sharedItems>
    </cacheField>
    <cacheField name="Ratingd" numFmtId="0">
      <sharedItems containsString="0" containsBlank="1" containsNumber="1" minValue="2" maxValue="5"/>
    </cacheField>
    <cacheField name="Absolute discount" numFmtId="0">
      <sharedItems containsString="0" containsBlank="1" containsNumber="1" containsInteger="1" minValue="24" maxValue="2585"/>
    </cacheField>
    <cacheField name="Rating category" numFmtId="0">
      <sharedItems containsBlank="1" count="5">
        <s v="Excellent"/>
        <s v=""/>
        <s v="Poor"/>
        <s v="Average"/>
        <m/>
      </sharedItems>
    </cacheField>
    <cacheField name="discount category" numFmtId="0">
      <sharedItems containsBlank="1" count="4">
        <s v="High Discount"/>
        <s v="Medium Discount"/>
        <s v="Low Disount"/>
        <m/>
      </sharedItems>
    </cacheField>
  </cacheFields>
  <extLst>
    <ext xmlns:x14="http://schemas.microsoft.com/office/spreadsheetml/2009/9/main" uri="{725AE2AE-9491-48be-B2B4-4EB974FC3084}">
      <x14:pivotCacheDefinition pivotCacheId="137579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450"/>
    <n v="900"/>
    <x v="0"/>
    <x v="0"/>
    <x v="0"/>
    <n v="450"/>
    <x v="0"/>
    <x v="0"/>
  </r>
  <r>
    <x v="1"/>
    <n v="2115"/>
    <n v="4700"/>
    <x v="1"/>
    <x v="1"/>
    <x v="1"/>
    <n v="2585"/>
    <x v="1"/>
    <x v="0"/>
  </r>
  <r>
    <x v="2"/>
    <n v="1570"/>
    <n v="2988"/>
    <x v="2"/>
    <x v="2"/>
    <x v="1"/>
    <n v="1418"/>
    <x v="1"/>
    <x v="0"/>
  </r>
  <r>
    <x v="3"/>
    <n v="968"/>
    <n v="1814"/>
    <x v="2"/>
    <x v="3"/>
    <x v="2"/>
    <n v="846"/>
    <x v="1"/>
    <x v="0"/>
  </r>
  <r>
    <x v="4"/>
    <n v="990"/>
    <n v="1814"/>
    <x v="3"/>
    <x v="3"/>
    <x v="2"/>
    <n v="824"/>
    <x v="1"/>
    <x v="0"/>
  </r>
  <r>
    <x v="5"/>
    <n v="1000"/>
    <n v="2000"/>
    <x v="0"/>
    <x v="2"/>
    <x v="3"/>
    <n v="1000"/>
    <x v="1"/>
    <x v="0"/>
  </r>
  <r>
    <x v="6"/>
    <n v="345"/>
    <n v="602"/>
    <x v="4"/>
    <x v="3"/>
    <x v="3"/>
    <n v="257"/>
    <x v="1"/>
    <x v="0"/>
  </r>
  <r>
    <x v="7"/>
    <n v="2170"/>
    <n v="2500"/>
    <x v="5"/>
    <x v="3"/>
    <x v="4"/>
    <n v="330"/>
    <x v="1"/>
    <x v="0"/>
  </r>
  <r>
    <x v="8"/>
    <n v="382"/>
    <n v="700"/>
    <x v="3"/>
    <x v="4"/>
    <x v="5"/>
    <n v="318"/>
    <x v="1"/>
    <x v="1"/>
  </r>
  <r>
    <x v="9"/>
    <n v="325"/>
    <n v="680"/>
    <x v="6"/>
    <x v="5"/>
    <x v="6"/>
    <n v="355"/>
    <x v="1"/>
    <x v="0"/>
  </r>
  <r>
    <x v="10"/>
    <n v="445"/>
    <n v="873"/>
    <x v="7"/>
    <x v="6"/>
    <x v="7"/>
    <n v="428"/>
    <x v="1"/>
    <x v="0"/>
  </r>
  <r>
    <x v="11"/>
    <n v="1220"/>
    <n v="1555"/>
    <x v="8"/>
    <x v="7"/>
    <x v="8"/>
    <n v="335"/>
    <x v="1"/>
    <x v="0"/>
  </r>
  <r>
    <x v="12"/>
    <n v="3750"/>
    <n v="6143"/>
    <x v="9"/>
    <x v="8"/>
    <x v="9"/>
    <n v="2393"/>
    <x v="1"/>
    <x v="2"/>
  </r>
  <r>
    <x v="13"/>
    <n v="2300"/>
    <n v="3240"/>
    <x v="10"/>
    <x v="8"/>
    <x v="9"/>
    <n v="940"/>
    <x v="2"/>
    <x v="2"/>
  </r>
  <r>
    <x v="14"/>
    <n v="1189"/>
    <n v="2199"/>
    <x v="11"/>
    <x v="0"/>
    <x v="9"/>
    <n v="1010"/>
    <x v="2"/>
    <x v="2"/>
  </r>
  <r>
    <x v="15"/>
    <n v="458"/>
    <n v="986"/>
    <x v="12"/>
    <x v="9"/>
    <x v="9"/>
    <n v="528"/>
    <x v="2"/>
    <x v="0"/>
  </r>
  <r>
    <x v="16"/>
    <n v="509"/>
    <n v="899"/>
    <x v="4"/>
    <x v="8"/>
    <x v="9"/>
    <n v="390"/>
    <x v="2"/>
    <x v="0"/>
  </r>
  <r>
    <x v="17"/>
    <n v="38"/>
    <n v="80"/>
    <x v="13"/>
    <x v="1"/>
    <x v="10"/>
    <n v="42"/>
    <x v="2"/>
    <x v="0"/>
  </r>
  <r>
    <x v="18"/>
    <n v="1350"/>
    <n v="1990"/>
    <x v="14"/>
    <x v="1"/>
    <x v="11"/>
    <n v="640"/>
    <x v="2"/>
    <x v="0"/>
  </r>
  <r>
    <x v="19"/>
    <n v="1600"/>
    <n v="2929"/>
    <x v="3"/>
    <x v="8"/>
    <x v="11"/>
    <n v="1329"/>
    <x v="2"/>
    <x v="2"/>
  </r>
  <r>
    <x v="20"/>
    <n v="2880"/>
    <n v="3520"/>
    <x v="15"/>
    <x v="10"/>
    <x v="11"/>
    <n v="640"/>
    <x v="2"/>
    <x v="0"/>
  </r>
  <r>
    <x v="21"/>
    <n v="2999"/>
    <n v="3290"/>
    <x v="16"/>
    <x v="5"/>
    <x v="12"/>
    <n v="291"/>
    <x v="2"/>
    <x v="1"/>
  </r>
  <r>
    <x v="22"/>
    <n v="988"/>
    <n v="1580"/>
    <x v="17"/>
    <x v="11"/>
    <x v="12"/>
    <n v="592"/>
    <x v="0"/>
    <x v="1"/>
  </r>
  <r>
    <x v="23"/>
    <n v="330"/>
    <n v="647"/>
    <x v="7"/>
    <x v="0"/>
    <x v="12"/>
    <n v="317"/>
    <x v="0"/>
    <x v="2"/>
  </r>
  <r>
    <x v="24"/>
    <n v="880"/>
    <n v="1350"/>
    <x v="18"/>
    <x v="3"/>
    <x v="12"/>
    <n v="470"/>
    <x v="0"/>
    <x v="0"/>
  </r>
  <r>
    <x v="25"/>
    <n v="1758"/>
    <n v="2499"/>
    <x v="19"/>
    <x v="12"/>
    <x v="13"/>
    <n v="741"/>
    <x v="0"/>
    <x v="2"/>
  </r>
  <r>
    <x v="26"/>
    <n v="799"/>
    <n v="999"/>
    <x v="20"/>
    <x v="10"/>
    <x v="13"/>
    <n v="200"/>
    <x v="0"/>
    <x v="2"/>
  </r>
  <r>
    <x v="27"/>
    <n v="527"/>
    <n v="999"/>
    <x v="2"/>
    <x v="13"/>
    <x v="13"/>
    <n v="472"/>
    <x v="0"/>
    <x v="1"/>
  </r>
  <r>
    <x v="28"/>
    <n v="1680"/>
    <n v="2499"/>
    <x v="21"/>
    <x v="14"/>
    <x v="14"/>
    <n v="819"/>
    <x v="0"/>
    <x v="0"/>
  </r>
  <r>
    <x v="29"/>
    <n v="185"/>
    <n v="382"/>
    <x v="6"/>
    <x v="14"/>
    <x v="15"/>
    <n v="197"/>
    <x v="0"/>
    <x v="2"/>
  </r>
  <r>
    <x v="30"/>
    <n v="2048"/>
    <n v="4500"/>
    <x v="12"/>
    <x v="2"/>
    <x v="15"/>
    <n v="2452"/>
    <x v="0"/>
    <x v="0"/>
  </r>
  <r>
    <x v="31"/>
    <n v="1820"/>
    <n v="3490"/>
    <x v="22"/>
    <x v="14"/>
    <x v="15"/>
    <n v="1670"/>
    <x v="0"/>
    <x v="0"/>
  </r>
  <r>
    <x v="32"/>
    <n v="389"/>
    <n v="656"/>
    <x v="23"/>
    <x v="15"/>
    <x v="15"/>
    <n v="267"/>
    <x v="0"/>
    <x v="0"/>
  </r>
  <r>
    <x v="33"/>
    <n v="1650"/>
    <n v="2150"/>
    <x v="24"/>
    <x v="13"/>
    <x v="16"/>
    <n v="500"/>
    <x v="0"/>
    <x v="0"/>
  </r>
  <r>
    <x v="34"/>
    <s v=" 1,620 -  1,980"/>
    <s v=" 2,200 -  3,200"/>
    <x v="25"/>
    <x v="11"/>
    <x v="17"/>
    <m/>
    <x v="3"/>
    <x v="3"/>
  </r>
  <r>
    <x v="35"/>
    <n v="950"/>
    <n v="1525"/>
    <x v="25"/>
    <x v="11"/>
    <x v="17"/>
    <n v="575"/>
    <x v="0"/>
    <x v="2"/>
  </r>
  <r>
    <x v="36"/>
    <n v="1980"/>
    <n v="2699"/>
    <x v="26"/>
    <x v="16"/>
    <x v="17"/>
    <n v="719"/>
    <x v="0"/>
    <x v="2"/>
  </r>
  <r>
    <x v="37"/>
    <n v="501"/>
    <n v="860"/>
    <x v="27"/>
    <x v="3"/>
    <x v="17"/>
    <n v="359"/>
    <x v="0"/>
    <x v="2"/>
  </r>
  <r>
    <x v="38"/>
    <n v="2319"/>
    <n v="3032"/>
    <x v="28"/>
    <x v="17"/>
    <x v="18"/>
    <n v="713"/>
    <x v="0"/>
    <x v="0"/>
  </r>
  <r>
    <x v="39"/>
    <n v="998"/>
    <n v="1966"/>
    <x v="7"/>
    <x v="18"/>
    <x v="18"/>
    <n v="968"/>
    <x v="0"/>
    <x v="2"/>
  </r>
  <r>
    <x v="40"/>
    <n v="420"/>
    <n v="647"/>
    <x v="18"/>
    <x v="19"/>
    <x v="18"/>
    <n v="227"/>
    <x v="0"/>
    <x v="0"/>
  </r>
  <r>
    <x v="41"/>
    <n v="2999"/>
    <n v="3699"/>
    <x v="29"/>
    <x v="8"/>
    <x v="18"/>
    <n v="700"/>
    <x v="0"/>
    <x v="2"/>
  </r>
  <r>
    <x v="42"/>
    <n v="2199"/>
    <n v="2923"/>
    <x v="30"/>
    <x v="20"/>
    <x v="18"/>
    <n v="724"/>
    <x v="0"/>
    <x v="1"/>
  </r>
  <r>
    <x v="43"/>
    <n v="990"/>
    <n v="1500"/>
    <x v="31"/>
    <x v="21"/>
    <x v="19"/>
    <n v="510"/>
    <x v="0"/>
    <x v="2"/>
  </r>
  <r>
    <x v="44"/>
    <n v="980"/>
    <n v="1490"/>
    <x v="31"/>
    <x v="10"/>
    <x v="19"/>
    <n v="510"/>
    <x v="0"/>
    <x v="2"/>
  </r>
  <r>
    <x v="45"/>
    <n v="1940"/>
    <n v="2650"/>
    <x v="26"/>
    <x v="12"/>
    <x v="19"/>
    <n v="710"/>
    <x v="0"/>
    <x v="2"/>
  </r>
  <r>
    <x v="46"/>
    <n v="1580"/>
    <n v="2499"/>
    <x v="17"/>
    <x v="2"/>
    <x v="19"/>
    <n v="919"/>
    <x v="0"/>
    <x v="2"/>
  </r>
  <r>
    <x v="47"/>
    <n v="552"/>
    <n v="1035"/>
    <x v="2"/>
    <x v="10"/>
    <x v="20"/>
    <n v="483"/>
    <x v="0"/>
    <x v="2"/>
  </r>
  <r>
    <x v="48"/>
    <n v="1274"/>
    <n v="2800"/>
    <x v="1"/>
    <x v="8"/>
    <x v="20"/>
    <n v="1526"/>
    <x v="0"/>
    <x v="0"/>
  </r>
  <r>
    <x v="49"/>
    <n v="1740"/>
    <n v="2356"/>
    <x v="32"/>
    <x v="8"/>
    <x v="20"/>
    <n v="616"/>
    <x v="0"/>
    <x v="0"/>
  </r>
  <r>
    <x v="50"/>
    <n v="332"/>
    <n v="684"/>
    <x v="33"/>
    <x v="11"/>
    <x v="21"/>
    <n v="352"/>
    <x v="0"/>
    <x v="2"/>
  </r>
  <r>
    <x v="51"/>
    <n v="979"/>
    <n v="1920"/>
    <x v="7"/>
    <x v="0"/>
    <x v="21"/>
    <n v="941"/>
    <x v="0"/>
    <x v="0"/>
  </r>
  <r>
    <x v="52"/>
    <n v="171"/>
    <n v="360"/>
    <x v="13"/>
    <x v="11"/>
    <x v="21"/>
    <n v="189"/>
    <x v="0"/>
    <x v="0"/>
  </r>
  <r>
    <x v="53"/>
    <n v="1620"/>
    <n v="2690"/>
    <x v="34"/>
    <x v="0"/>
    <x v="21"/>
    <n v="1070"/>
    <x v="0"/>
    <x v="0"/>
  </r>
  <r>
    <x v="54"/>
    <n v="3640"/>
    <n v="4588"/>
    <x v="35"/>
    <x v="0"/>
    <x v="21"/>
    <n v="948"/>
    <x v="0"/>
    <x v="2"/>
  </r>
  <r>
    <x v="55"/>
    <n v="2025"/>
    <n v="3971"/>
    <x v="7"/>
    <x v="22"/>
    <x v="21"/>
    <n v="1946"/>
    <x v="0"/>
    <x v="2"/>
  </r>
  <r>
    <x v="56"/>
    <n v="195"/>
    <n v="360"/>
    <x v="11"/>
    <x v="11"/>
    <x v="21"/>
    <n v="165"/>
    <x v="0"/>
    <x v="0"/>
  </r>
  <r>
    <x v="57"/>
    <n v="2799"/>
    <n v="3810"/>
    <x v="26"/>
    <x v="23"/>
    <x v="22"/>
    <n v="1011"/>
    <x v="0"/>
    <x v="0"/>
  </r>
  <r>
    <x v="58"/>
    <n v="198"/>
    <n v="260"/>
    <x v="28"/>
    <x v="23"/>
    <x v="22"/>
    <n v="62"/>
    <x v="4"/>
    <x v="2"/>
  </r>
  <r>
    <x v="59"/>
    <n v="1666"/>
    <n v="1699"/>
    <x v="36"/>
    <x v="23"/>
    <x v="22"/>
    <n v="33"/>
    <x v="4"/>
    <x v="2"/>
  </r>
  <r>
    <x v="60"/>
    <n v="1875"/>
    <n v="1899"/>
    <x v="37"/>
    <x v="23"/>
    <x v="22"/>
    <n v="24"/>
    <x v="4"/>
    <x v="1"/>
  </r>
  <r>
    <x v="61"/>
    <n v="1200"/>
    <n v="2400"/>
    <x v="0"/>
    <x v="23"/>
    <x v="22"/>
    <n v="1200"/>
    <x v="4"/>
    <x v="1"/>
  </r>
  <r>
    <x v="62"/>
    <n v="1200"/>
    <n v="1950"/>
    <x v="25"/>
    <x v="23"/>
    <x v="22"/>
    <n v="750"/>
    <x v="4"/>
    <x v="0"/>
  </r>
  <r>
    <x v="63"/>
    <n v="790"/>
    <n v="1485"/>
    <x v="2"/>
    <x v="23"/>
    <x v="22"/>
    <n v="695"/>
    <x v="4"/>
    <x v="2"/>
  </r>
  <r>
    <x v="64"/>
    <n v="690"/>
    <n v="1200"/>
    <x v="4"/>
    <x v="23"/>
    <x v="22"/>
    <n v="510"/>
    <x v="4"/>
    <x v="0"/>
  </r>
  <r>
    <x v="65"/>
    <n v="248"/>
    <n v="486"/>
    <x v="7"/>
    <x v="23"/>
    <x v="22"/>
    <n v="238"/>
    <x v="4"/>
    <x v="0"/>
  </r>
  <r>
    <x v="66"/>
    <n v="475"/>
    <n v="931"/>
    <x v="7"/>
    <x v="23"/>
    <x v="22"/>
    <n v="456"/>
    <x v="4"/>
    <x v="0"/>
  </r>
  <r>
    <x v="67"/>
    <n v="1860"/>
    <n v="3220"/>
    <x v="27"/>
    <x v="23"/>
    <x v="22"/>
    <n v="1360"/>
    <x v="4"/>
    <x v="0"/>
  </r>
  <r>
    <x v="68"/>
    <n v="1460"/>
    <n v="2290"/>
    <x v="38"/>
    <x v="23"/>
    <x v="22"/>
    <n v="830"/>
    <x v="4"/>
    <x v="0"/>
  </r>
  <r>
    <x v="69"/>
    <n v="199"/>
    <n v="553"/>
    <x v="39"/>
    <x v="23"/>
    <x v="22"/>
    <n v="354"/>
    <x v="4"/>
    <x v="2"/>
  </r>
  <r>
    <x v="70"/>
    <n v="899"/>
    <n v="1699"/>
    <x v="2"/>
    <x v="23"/>
    <x v="22"/>
    <n v="800"/>
    <x v="4"/>
    <x v="0"/>
  </r>
  <r>
    <x v="71"/>
    <n v="1190"/>
    <n v="1785"/>
    <x v="21"/>
    <x v="23"/>
    <x v="22"/>
    <n v="595"/>
    <x v="4"/>
    <x v="0"/>
  </r>
  <r>
    <x v="72"/>
    <n v="230"/>
    <n v="450"/>
    <x v="7"/>
    <x v="23"/>
    <x v="22"/>
    <n v="220"/>
    <x v="4"/>
    <x v="2"/>
  </r>
  <r>
    <x v="73"/>
    <n v="1080"/>
    <n v="1874"/>
    <x v="27"/>
    <x v="23"/>
    <x v="22"/>
    <n v="794"/>
    <x v="4"/>
    <x v="0"/>
  </r>
  <r>
    <x v="74"/>
    <n v="1420"/>
    <n v="2420"/>
    <x v="23"/>
    <x v="23"/>
    <x v="22"/>
    <n v="1000"/>
    <x v="4"/>
    <x v="0"/>
  </r>
  <r>
    <x v="75"/>
    <n v="799"/>
    <n v="1567"/>
    <x v="7"/>
    <x v="23"/>
    <x v="22"/>
    <n v="768"/>
    <x v="4"/>
    <x v="0"/>
  </r>
  <r>
    <x v="75"/>
    <n v="657"/>
    <n v="1288"/>
    <x v="7"/>
    <x v="23"/>
    <x v="22"/>
    <n v="631"/>
    <x v="4"/>
    <x v="0"/>
  </r>
  <r>
    <x v="76"/>
    <n v="525"/>
    <n v="1029"/>
    <x v="7"/>
    <x v="23"/>
    <x v="22"/>
    <n v="504"/>
    <x v="4"/>
    <x v="0"/>
  </r>
  <r>
    <x v="77"/>
    <n v="610"/>
    <n v="1060"/>
    <x v="27"/>
    <x v="23"/>
    <x v="22"/>
    <n v="450"/>
    <x v="4"/>
    <x v="0"/>
  </r>
  <r>
    <x v="78"/>
    <n v="169"/>
    <n v="320"/>
    <x v="2"/>
    <x v="23"/>
    <x v="22"/>
    <n v="151"/>
    <x v="4"/>
    <x v="0"/>
  </r>
  <r>
    <x v="79"/>
    <n v="299"/>
    <n v="600"/>
    <x v="0"/>
    <x v="23"/>
    <x v="22"/>
    <n v="301"/>
    <x v="4"/>
    <x v="0"/>
  </r>
  <r>
    <x v="80"/>
    <n v="671"/>
    <n v="1316"/>
    <x v="7"/>
    <x v="23"/>
    <x v="22"/>
    <n v="645"/>
    <x v="4"/>
    <x v="0"/>
  </r>
  <r>
    <x v="81"/>
    <n v="274"/>
    <n v="537"/>
    <x v="7"/>
    <x v="23"/>
    <x v="22"/>
    <n v="263"/>
    <x v="4"/>
    <x v="0"/>
  </r>
  <r>
    <x v="82"/>
    <n v="1190"/>
    <n v="1810"/>
    <x v="31"/>
    <x v="23"/>
    <x v="22"/>
    <n v="620"/>
    <x v="4"/>
    <x v="0"/>
  </r>
  <r>
    <x v="83"/>
    <n v="999"/>
    <n v="2000"/>
    <x v="0"/>
    <x v="23"/>
    <x v="22"/>
    <n v="1001"/>
    <x v="4"/>
    <x v="2"/>
  </r>
  <r>
    <x v="84"/>
    <n v="699"/>
    <n v="1343"/>
    <x v="22"/>
    <x v="23"/>
    <x v="22"/>
    <n v="644"/>
    <x v="4"/>
    <x v="0"/>
  </r>
  <r>
    <x v="85"/>
    <n v="199"/>
    <n v="504"/>
    <x v="40"/>
    <x v="23"/>
    <x v="22"/>
    <n v="305"/>
    <x v="4"/>
    <x v="0"/>
  </r>
  <r>
    <x v="85"/>
    <n v="176"/>
    <n v="345"/>
    <x v="7"/>
    <x v="23"/>
    <x v="22"/>
    <n v="169"/>
    <x v="4"/>
    <x v="0"/>
  </r>
  <r>
    <x v="86"/>
    <n v="1732"/>
    <n v="1799"/>
    <x v="41"/>
    <x v="23"/>
    <x v="22"/>
    <n v="67"/>
    <x v="4"/>
    <x v="0"/>
  </r>
  <r>
    <x v="87"/>
    <n v="799"/>
    <n v="1343"/>
    <x v="23"/>
    <x v="23"/>
    <x v="22"/>
    <n v="544"/>
    <x v="4"/>
    <x v="1"/>
  </r>
  <r>
    <x v="88"/>
    <n v="2750"/>
    <n v="4471"/>
    <x v="25"/>
    <x v="23"/>
    <x v="22"/>
    <n v="1721"/>
    <x v="4"/>
    <x v="0"/>
  </r>
  <r>
    <x v="89"/>
    <n v="1150"/>
    <n v="1737"/>
    <x v="31"/>
    <x v="23"/>
    <x v="22"/>
    <n v="587"/>
    <x v="4"/>
    <x v="2"/>
  </r>
  <r>
    <x v="90"/>
    <n v="3546"/>
    <n v="3699"/>
    <x v="41"/>
    <x v="23"/>
    <x v="22"/>
    <n v="153"/>
    <x v="4"/>
    <x v="2"/>
  </r>
  <r>
    <x v="91"/>
    <n v="238"/>
    <n v="476"/>
    <x v="0"/>
    <x v="23"/>
    <x v="22"/>
    <n v="238"/>
    <x v="4"/>
    <x v="1"/>
  </r>
  <r>
    <x v="92"/>
    <n v="630"/>
    <n v="1100"/>
    <x v="4"/>
    <x v="23"/>
    <x v="22"/>
    <n v="470"/>
    <x v="4"/>
    <x v="0"/>
  </r>
  <r>
    <x v="93"/>
    <n v="2200"/>
    <n v="4080"/>
    <x v="11"/>
    <x v="23"/>
    <x v="22"/>
    <n v="1880"/>
    <x v="4"/>
    <x v="0"/>
  </r>
  <r>
    <x v="94"/>
    <n v="1459"/>
    <n v="1499"/>
    <x v="42"/>
    <x v="23"/>
    <x v="22"/>
    <n v="40"/>
    <x v="4"/>
    <x v="0"/>
  </r>
  <r>
    <x v="95"/>
    <n v="1466"/>
    <n v="1699"/>
    <x v="43"/>
    <x v="23"/>
    <x v="22"/>
    <n v="233"/>
    <x v="4"/>
    <x v="1"/>
  </r>
  <r>
    <x v="96"/>
    <n v="799"/>
    <n v="900"/>
    <x v="44"/>
    <x v="23"/>
    <x v="22"/>
    <n v="101"/>
    <x v="4"/>
    <x v="1"/>
  </r>
  <r>
    <x v="97"/>
    <n v="1660"/>
    <n v="1699"/>
    <x v="36"/>
    <x v="23"/>
    <x v="22"/>
    <n v="39"/>
    <x v="4"/>
    <x v="1"/>
  </r>
  <r>
    <x v="98"/>
    <n v="299"/>
    <n v="384"/>
    <x v="8"/>
    <x v="23"/>
    <x v="22"/>
    <n v="85"/>
    <x v="4"/>
    <x v="1"/>
  </r>
  <r>
    <x v="99"/>
    <n v="1462"/>
    <n v="1499"/>
    <x v="36"/>
    <x v="23"/>
    <x v="22"/>
    <n v="37"/>
    <x v="4"/>
    <x v="2"/>
  </r>
  <r>
    <x v="100"/>
    <n v="1300"/>
    <n v="2500"/>
    <x v="22"/>
    <x v="23"/>
    <x v="22"/>
    <n v="1200"/>
    <x v="4"/>
    <x v="1"/>
  </r>
  <r>
    <x v="101"/>
    <n v="105"/>
    <n v="200"/>
    <x v="22"/>
    <x v="23"/>
    <x v="22"/>
    <n v="95"/>
    <x v="4"/>
    <x v="0"/>
  </r>
  <r>
    <x v="102"/>
    <n v="2132"/>
    <n v="2169"/>
    <x v="36"/>
    <x v="23"/>
    <x v="22"/>
    <n v="37"/>
    <x v="4"/>
    <x v="0"/>
  </r>
  <r>
    <x v="103"/>
    <n v="1658"/>
    <n v="1699"/>
    <x v="36"/>
    <x v="23"/>
    <x v="22"/>
    <n v="41"/>
    <x v="4"/>
    <x v="1"/>
  </r>
  <r>
    <x v="104"/>
    <n v="499"/>
    <n v="900"/>
    <x v="3"/>
    <x v="23"/>
    <x v="22"/>
    <n v="401"/>
    <x v="4"/>
    <x v="1"/>
  </r>
  <r>
    <x v="104"/>
    <n v="399"/>
    <n v="896"/>
    <x v="1"/>
    <x v="23"/>
    <x v="22"/>
    <n v="497"/>
    <x v="4"/>
    <x v="0"/>
  </r>
  <r>
    <x v="105"/>
    <n v="1768"/>
    <n v="1799"/>
    <x v="36"/>
    <x v="23"/>
    <x v="22"/>
    <n v="31"/>
    <x v="4"/>
    <x v="0"/>
  </r>
  <r>
    <x v="106"/>
    <n v="850"/>
    <n v="1700"/>
    <x v="0"/>
    <x v="23"/>
    <x v="22"/>
    <n v="850"/>
    <x v="4"/>
    <x v="1"/>
  </r>
  <r>
    <x v="107"/>
    <n v="1526"/>
    <n v="1660"/>
    <x v="45"/>
    <x v="23"/>
    <x v="22"/>
    <n v="134"/>
    <x v="4"/>
    <x v="0"/>
  </r>
  <r>
    <x v="108"/>
    <n v="1468"/>
    <n v="1699"/>
    <x v="43"/>
    <x v="23"/>
    <x v="22"/>
    <n v="231"/>
    <x v="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n v="199"/>
    <n v="553"/>
    <x v="0"/>
    <x v="0"/>
    <m/>
    <n v="354"/>
    <x v="0"/>
    <x v="0"/>
  </r>
  <r>
    <x v="1"/>
    <n v="199"/>
    <n v="504"/>
    <x v="1"/>
    <x v="0"/>
    <m/>
    <n v="305"/>
    <x v="1"/>
    <x v="0"/>
  </r>
  <r>
    <x v="2"/>
    <n v="2115"/>
    <n v="4700"/>
    <x v="2"/>
    <x v="1"/>
    <n v="2.1"/>
    <n v="2585"/>
    <x v="1"/>
    <x v="0"/>
  </r>
  <r>
    <x v="3"/>
    <n v="1274"/>
    <n v="2800"/>
    <x v="2"/>
    <x v="2"/>
    <n v="4.8"/>
    <n v="1526"/>
    <x v="2"/>
    <x v="0"/>
  </r>
  <r>
    <x v="4"/>
    <n v="399"/>
    <n v="896"/>
    <x v="2"/>
    <x v="0"/>
    <m/>
    <n v="497"/>
    <x v="0"/>
    <x v="0"/>
  </r>
  <r>
    <x v="5"/>
    <n v="458"/>
    <n v="986"/>
    <x v="3"/>
    <x v="3"/>
    <n v="3"/>
    <n v="528"/>
    <x v="1"/>
    <x v="0"/>
  </r>
  <r>
    <x v="6"/>
    <n v="2048"/>
    <n v="4500"/>
    <x v="3"/>
    <x v="4"/>
    <n v="4.3"/>
    <n v="2452"/>
    <x v="3"/>
    <x v="0"/>
  </r>
  <r>
    <x v="7"/>
    <n v="38"/>
    <n v="80"/>
    <x v="4"/>
    <x v="1"/>
    <n v="3.3"/>
    <n v="42"/>
    <x v="0"/>
    <x v="0"/>
  </r>
  <r>
    <x v="8"/>
    <n v="171"/>
    <n v="360"/>
    <x v="4"/>
    <x v="5"/>
    <n v="5"/>
    <n v="189"/>
    <x v="3"/>
    <x v="0"/>
  </r>
  <r>
    <x v="9"/>
    <n v="325"/>
    <n v="680"/>
    <x v="5"/>
    <x v="6"/>
    <n v="2.7"/>
    <n v="355"/>
    <x v="0"/>
    <x v="0"/>
  </r>
  <r>
    <x v="10"/>
    <n v="185"/>
    <n v="382"/>
    <x v="5"/>
    <x v="7"/>
    <n v="4.3"/>
    <n v="197"/>
    <x v="2"/>
    <x v="0"/>
  </r>
  <r>
    <x v="11"/>
    <n v="332"/>
    <n v="684"/>
    <x v="6"/>
    <x v="5"/>
    <n v="5"/>
    <n v="352"/>
    <x v="0"/>
    <x v="0"/>
  </r>
  <r>
    <x v="12"/>
    <n v="450"/>
    <n v="900"/>
    <x v="7"/>
    <x v="8"/>
    <n v="2"/>
    <n v="450"/>
    <x v="0"/>
    <x v="0"/>
  </r>
  <r>
    <x v="13"/>
    <n v="1000"/>
    <n v="2000"/>
    <x v="7"/>
    <x v="4"/>
    <n v="2.2999999999999998"/>
    <n v="1000"/>
    <x v="2"/>
    <x v="0"/>
  </r>
  <r>
    <x v="14"/>
    <n v="1200"/>
    <n v="2400"/>
    <x v="7"/>
    <x v="0"/>
    <m/>
    <n v="1200"/>
    <x v="2"/>
    <x v="0"/>
  </r>
  <r>
    <x v="15"/>
    <n v="299"/>
    <n v="600"/>
    <x v="7"/>
    <x v="0"/>
    <m/>
    <n v="301"/>
    <x v="1"/>
    <x v="0"/>
  </r>
  <r>
    <x v="16"/>
    <n v="999"/>
    <n v="2000"/>
    <x v="7"/>
    <x v="0"/>
    <m/>
    <n v="1001"/>
    <x v="1"/>
    <x v="0"/>
  </r>
  <r>
    <x v="17"/>
    <n v="238"/>
    <n v="476"/>
    <x v="7"/>
    <x v="0"/>
    <m/>
    <n v="238"/>
    <x v="1"/>
    <x v="0"/>
  </r>
  <r>
    <x v="18"/>
    <n v="850"/>
    <n v="1700"/>
    <x v="7"/>
    <x v="0"/>
    <m/>
    <n v="850"/>
    <x v="1"/>
    <x v="0"/>
  </r>
  <r>
    <x v="19"/>
    <n v="445"/>
    <n v="873"/>
    <x v="8"/>
    <x v="9"/>
    <n v="2.8"/>
    <n v="428"/>
    <x v="1"/>
    <x v="0"/>
  </r>
  <r>
    <x v="20"/>
    <n v="330"/>
    <n v="647"/>
    <x v="8"/>
    <x v="8"/>
    <n v="4"/>
    <n v="317"/>
    <x v="2"/>
    <x v="0"/>
  </r>
  <r>
    <x v="21"/>
    <n v="998"/>
    <n v="1966"/>
    <x v="8"/>
    <x v="10"/>
    <n v="4.5999999999999996"/>
    <n v="968"/>
    <x v="0"/>
    <x v="0"/>
  </r>
  <r>
    <x v="22"/>
    <n v="979"/>
    <n v="1920"/>
    <x v="8"/>
    <x v="8"/>
    <n v="5"/>
    <n v="941"/>
    <x v="0"/>
    <x v="0"/>
  </r>
  <r>
    <x v="23"/>
    <n v="2025"/>
    <n v="3971"/>
    <x v="8"/>
    <x v="11"/>
    <n v="5"/>
    <n v="1946"/>
    <x v="0"/>
    <x v="0"/>
  </r>
  <r>
    <x v="24"/>
    <n v="248"/>
    <n v="486"/>
    <x v="8"/>
    <x v="0"/>
    <m/>
    <n v="238"/>
    <x v="0"/>
    <x v="0"/>
  </r>
  <r>
    <x v="25"/>
    <n v="475"/>
    <n v="931"/>
    <x v="8"/>
    <x v="0"/>
    <m/>
    <n v="456"/>
    <x v="1"/>
    <x v="0"/>
  </r>
  <r>
    <x v="26"/>
    <n v="230"/>
    <n v="450"/>
    <x v="8"/>
    <x v="0"/>
    <m/>
    <n v="220"/>
    <x v="1"/>
    <x v="0"/>
  </r>
  <r>
    <x v="27"/>
    <n v="799"/>
    <n v="1567"/>
    <x v="8"/>
    <x v="0"/>
    <m/>
    <n v="768"/>
    <x v="1"/>
    <x v="0"/>
  </r>
  <r>
    <x v="27"/>
    <n v="657"/>
    <n v="1288"/>
    <x v="8"/>
    <x v="0"/>
    <m/>
    <n v="631"/>
    <x v="1"/>
    <x v="0"/>
  </r>
  <r>
    <x v="28"/>
    <n v="525"/>
    <n v="1029"/>
    <x v="8"/>
    <x v="0"/>
    <m/>
    <n v="504"/>
    <x v="1"/>
    <x v="0"/>
  </r>
  <r>
    <x v="29"/>
    <n v="671"/>
    <n v="1316"/>
    <x v="8"/>
    <x v="0"/>
    <m/>
    <n v="645"/>
    <x v="1"/>
    <x v="0"/>
  </r>
  <r>
    <x v="30"/>
    <n v="274"/>
    <n v="537"/>
    <x v="8"/>
    <x v="0"/>
    <m/>
    <n v="263"/>
    <x v="1"/>
    <x v="0"/>
  </r>
  <r>
    <x v="1"/>
    <n v="176"/>
    <n v="345"/>
    <x v="8"/>
    <x v="0"/>
    <m/>
    <n v="169"/>
    <x v="1"/>
    <x v="0"/>
  </r>
  <r>
    <x v="31"/>
    <n v="1820"/>
    <n v="3490"/>
    <x v="9"/>
    <x v="7"/>
    <n v="4.3"/>
    <n v="1670"/>
    <x v="1"/>
    <x v="0"/>
  </r>
  <r>
    <x v="32"/>
    <n v="699"/>
    <n v="1343"/>
    <x v="9"/>
    <x v="0"/>
    <m/>
    <n v="644"/>
    <x v="0"/>
    <x v="0"/>
  </r>
  <r>
    <x v="33"/>
    <n v="1300"/>
    <n v="2500"/>
    <x v="9"/>
    <x v="0"/>
    <m/>
    <n v="1200"/>
    <x v="1"/>
    <x v="0"/>
  </r>
  <r>
    <x v="34"/>
    <n v="105"/>
    <n v="200"/>
    <x v="9"/>
    <x v="0"/>
    <m/>
    <n v="95"/>
    <x v="1"/>
    <x v="0"/>
  </r>
  <r>
    <x v="35"/>
    <n v="1570"/>
    <n v="2988"/>
    <x v="10"/>
    <x v="4"/>
    <n v="2.1"/>
    <n v="1418"/>
    <x v="1"/>
    <x v="0"/>
  </r>
  <r>
    <x v="36"/>
    <n v="968"/>
    <n v="1814"/>
    <x v="10"/>
    <x v="12"/>
    <n v="2.2000000000000002"/>
    <n v="846"/>
    <x v="2"/>
    <x v="0"/>
  </r>
  <r>
    <x v="37"/>
    <n v="527"/>
    <n v="999"/>
    <x v="10"/>
    <x v="13"/>
    <n v="4.0999999999999996"/>
    <n v="472"/>
    <x v="2"/>
    <x v="0"/>
  </r>
  <r>
    <x v="38"/>
    <n v="552"/>
    <n v="1035"/>
    <x v="10"/>
    <x v="14"/>
    <n v="4.8"/>
    <n v="483"/>
    <x v="0"/>
    <x v="0"/>
  </r>
  <r>
    <x v="39"/>
    <n v="790"/>
    <n v="1485"/>
    <x v="10"/>
    <x v="0"/>
    <m/>
    <n v="695"/>
    <x v="0"/>
    <x v="0"/>
  </r>
  <r>
    <x v="40"/>
    <n v="899"/>
    <n v="1699"/>
    <x v="10"/>
    <x v="0"/>
    <m/>
    <n v="800"/>
    <x v="1"/>
    <x v="0"/>
  </r>
  <r>
    <x v="41"/>
    <n v="169"/>
    <n v="320"/>
    <x v="10"/>
    <x v="0"/>
    <m/>
    <n v="151"/>
    <x v="1"/>
    <x v="0"/>
  </r>
  <r>
    <x v="42"/>
    <n v="1189"/>
    <n v="2199"/>
    <x v="11"/>
    <x v="8"/>
    <n v="3"/>
    <n v="1010"/>
    <x v="1"/>
    <x v="0"/>
  </r>
  <r>
    <x v="43"/>
    <n v="195"/>
    <n v="360"/>
    <x v="11"/>
    <x v="5"/>
    <n v="5"/>
    <n v="165"/>
    <x v="3"/>
    <x v="0"/>
  </r>
  <r>
    <x v="44"/>
    <n v="2200"/>
    <n v="4080"/>
    <x v="11"/>
    <x v="0"/>
    <m/>
    <n v="1880"/>
    <x v="0"/>
    <x v="0"/>
  </r>
  <r>
    <x v="45"/>
    <n v="990"/>
    <n v="1814"/>
    <x v="12"/>
    <x v="12"/>
    <n v="2.2000000000000002"/>
    <n v="824"/>
    <x v="1"/>
    <x v="0"/>
  </r>
  <r>
    <x v="46"/>
    <n v="382"/>
    <n v="700"/>
    <x v="12"/>
    <x v="15"/>
    <n v="2.6"/>
    <n v="318"/>
    <x v="2"/>
    <x v="0"/>
  </r>
  <r>
    <x v="47"/>
    <n v="1600"/>
    <n v="2929"/>
    <x v="12"/>
    <x v="2"/>
    <n v="3.8"/>
    <n v="1329"/>
    <x v="2"/>
    <x v="0"/>
  </r>
  <r>
    <x v="4"/>
    <n v="499"/>
    <n v="900"/>
    <x v="12"/>
    <x v="0"/>
    <m/>
    <n v="401"/>
    <x v="3"/>
    <x v="0"/>
  </r>
  <r>
    <x v="48"/>
    <n v="345"/>
    <n v="602"/>
    <x v="13"/>
    <x v="12"/>
    <n v="2.2999999999999998"/>
    <n v="257"/>
    <x v="1"/>
    <x v="0"/>
  </r>
  <r>
    <x v="49"/>
    <n v="509"/>
    <n v="899"/>
    <x v="13"/>
    <x v="2"/>
    <n v="3"/>
    <n v="390"/>
    <x v="2"/>
    <x v="0"/>
  </r>
  <r>
    <x v="50"/>
    <n v="690"/>
    <n v="1200"/>
    <x v="13"/>
    <x v="0"/>
    <m/>
    <n v="510"/>
    <x v="3"/>
    <x v="0"/>
  </r>
  <r>
    <x v="51"/>
    <n v="630"/>
    <n v="1100"/>
    <x v="13"/>
    <x v="0"/>
    <m/>
    <n v="470"/>
    <x v="1"/>
    <x v="0"/>
  </r>
  <r>
    <x v="52"/>
    <n v="501"/>
    <n v="860"/>
    <x v="14"/>
    <x v="12"/>
    <n v="4.5"/>
    <n v="359"/>
    <x v="1"/>
    <x v="0"/>
  </r>
  <r>
    <x v="53"/>
    <n v="1860"/>
    <n v="3220"/>
    <x v="14"/>
    <x v="0"/>
    <m/>
    <n v="1360"/>
    <x v="0"/>
    <x v="0"/>
  </r>
  <r>
    <x v="54"/>
    <n v="1080"/>
    <n v="1874"/>
    <x v="14"/>
    <x v="0"/>
    <m/>
    <n v="794"/>
    <x v="1"/>
    <x v="0"/>
  </r>
  <r>
    <x v="55"/>
    <n v="610"/>
    <n v="1060"/>
    <x v="14"/>
    <x v="0"/>
    <m/>
    <n v="450"/>
    <x v="1"/>
    <x v="0"/>
  </r>
  <r>
    <x v="56"/>
    <n v="389"/>
    <n v="656"/>
    <x v="15"/>
    <x v="16"/>
    <n v="4.3"/>
    <n v="267"/>
    <x v="1"/>
    <x v="0"/>
  </r>
  <r>
    <x v="57"/>
    <n v="1420"/>
    <n v="2420"/>
    <x v="15"/>
    <x v="0"/>
    <m/>
    <n v="1000"/>
    <x v="0"/>
    <x v="0"/>
  </r>
  <r>
    <x v="58"/>
    <n v="799"/>
    <n v="1343"/>
    <x v="15"/>
    <x v="0"/>
    <m/>
    <n v="544"/>
    <x v="1"/>
    <x v="0"/>
  </r>
  <r>
    <x v="59"/>
    <n v="1620"/>
    <n v="2690"/>
    <x v="16"/>
    <x v="8"/>
    <n v="5"/>
    <n v="1070"/>
    <x v="1"/>
    <x v="0"/>
  </r>
  <r>
    <x v="60"/>
    <n v="3750"/>
    <n v="6143"/>
    <x v="17"/>
    <x v="2"/>
    <n v="3"/>
    <n v="2393"/>
    <x v="0"/>
    <x v="1"/>
  </r>
  <r>
    <x v="61"/>
    <n v="1800"/>
    <n v="2700"/>
    <x v="18"/>
    <x v="5"/>
    <n v="4.5"/>
    <n v="900"/>
    <x v="3"/>
    <x v="1"/>
  </r>
  <r>
    <x v="62"/>
    <n v="950"/>
    <n v="1525"/>
    <x v="18"/>
    <x v="5"/>
    <n v="4.5"/>
    <n v="575"/>
    <x v="0"/>
    <x v="1"/>
  </r>
  <r>
    <x v="63"/>
    <n v="1200"/>
    <n v="1950"/>
    <x v="18"/>
    <x v="0"/>
    <m/>
    <n v="750"/>
    <x v="0"/>
    <x v="1"/>
  </r>
  <r>
    <x v="64"/>
    <n v="2750"/>
    <n v="4471"/>
    <x v="18"/>
    <x v="0"/>
    <m/>
    <n v="1721"/>
    <x v="1"/>
    <x v="1"/>
  </r>
  <r>
    <x v="65"/>
    <n v="988"/>
    <n v="1580"/>
    <x v="19"/>
    <x v="5"/>
    <n v="4"/>
    <n v="592"/>
    <x v="1"/>
    <x v="1"/>
  </r>
  <r>
    <x v="66"/>
    <n v="1580"/>
    <n v="2499"/>
    <x v="19"/>
    <x v="4"/>
    <n v="4.7"/>
    <n v="919"/>
    <x v="0"/>
    <x v="1"/>
  </r>
  <r>
    <x v="67"/>
    <n v="1460"/>
    <n v="2290"/>
    <x v="20"/>
    <x v="0"/>
    <m/>
    <n v="830"/>
    <x v="0"/>
    <x v="1"/>
  </r>
  <r>
    <x v="68"/>
    <n v="880"/>
    <n v="1350"/>
    <x v="21"/>
    <x v="12"/>
    <n v="4"/>
    <n v="470"/>
    <x v="1"/>
    <x v="1"/>
  </r>
  <r>
    <x v="69"/>
    <n v="420"/>
    <n v="647"/>
    <x v="21"/>
    <x v="17"/>
    <n v="4.5999999999999996"/>
    <n v="227"/>
    <x v="0"/>
    <x v="1"/>
  </r>
  <r>
    <x v="70"/>
    <n v="990"/>
    <n v="1500"/>
    <x v="22"/>
    <x v="18"/>
    <n v="4.7"/>
    <n v="510"/>
    <x v="0"/>
    <x v="1"/>
  </r>
  <r>
    <x v="71"/>
    <n v="980"/>
    <n v="1490"/>
    <x v="22"/>
    <x v="14"/>
    <n v="4.7"/>
    <n v="510"/>
    <x v="0"/>
    <x v="1"/>
  </r>
  <r>
    <x v="72"/>
    <n v="1190"/>
    <n v="1810"/>
    <x v="22"/>
    <x v="0"/>
    <m/>
    <n v="620"/>
    <x v="0"/>
    <x v="1"/>
  </r>
  <r>
    <x v="73"/>
    <n v="1150"/>
    <n v="1737"/>
    <x v="22"/>
    <x v="0"/>
    <m/>
    <n v="587"/>
    <x v="1"/>
    <x v="1"/>
  </r>
  <r>
    <x v="74"/>
    <n v="1680"/>
    <n v="2499"/>
    <x v="23"/>
    <x v="7"/>
    <n v="4.2"/>
    <n v="819"/>
    <x v="1"/>
    <x v="1"/>
  </r>
  <r>
    <x v="75"/>
    <n v="1190"/>
    <n v="1785"/>
    <x v="23"/>
    <x v="0"/>
    <m/>
    <n v="595"/>
    <x v="0"/>
    <x v="1"/>
  </r>
  <r>
    <x v="76"/>
    <n v="1350"/>
    <n v="1990"/>
    <x v="24"/>
    <x v="1"/>
    <n v="3.8"/>
    <n v="640"/>
    <x v="1"/>
    <x v="1"/>
  </r>
  <r>
    <x v="77"/>
    <n v="1758"/>
    <n v="2499"/>
    <x v="25"/>
    <x v="19"/>
    <n v="4.0999999999999996"/>
    <n v="741"/>
    <x v="3"/>
    <x v="1"/>
  </r>
  <r>
    <x v="78"/>
    <n v="2300"/>
    <n v="3240"/>
    <x v="26"/>
    <x v="2"/>
    <n v="3"/>
    <n v="940"/>
    <x v="0"/>
    <x v="1"/>
  </r>
  <r>
    <x v="79"/>
    <n v="1980"/>
    <n v="2699"/>
    <x v="27"/>
    <x v="20"/>
    <n v="4.5"/>
    <n v="719"/>
    <x v="3"/>
    <x v="1"/>
  </r>
  <r>
    <x v="80"/>
    <n v="1940"/>
    <n v="2650"/>
    <x v="27"/>
    <x v="19"/>
    <n v="4.7"/>
    <n v="710"/>
    <x v="0"/>
    <x v="1"/>
  </r>
  <r>
    <x v="81"/>
    <n v="2799"/>
    <n v="3810"/>
    <x v="27"/>
    <x v="0"/>
    <m/>
    <n v="1011"/>
    <x v="0"/>
    <x v="1"/>
  </r>
  <r>
    <x v="82"/>
    <n v="1740"/>
    <n v="2356"/>
    <x v="28"/>
    <x v="2"/>
    <n v="4.8"/>
    <n v="616"/>
    <x v="1"/>
    <x v="1"/>
  </r>
  <r>
    <x v="83"/>
    <n v="2199"/>
    <n v="2923"/>
    <x v="29"/>
    <x v="21"/>
    <n v="4.5999999999999996"/>
    <n v="724"/>
    <x v="0"/>
    <x v="1"/>
  </r>
  <r>
    <x v="84"/>
    <n v="2319"/>
    <n v="3032"/>
    <x v="30"/>
    <x v="22"/>
    <n v="4.5999999999999996"/>
    <n v="713"/>
    <x v="0"/>
    <x v="1"/>
  </r>
  <r>
    <x v="85"/>
    <n v="198"/>
    <n v="260"/>
    <x v="30"/>
    <x v="0"/>
    <m/>
    <n v="62"/>
    <x v="0"/>
    <x v="1"/>
  </r>
  <r>
    <x v="86"/>
    <n v="1650"/>
    <n v="2150"/>
    <x v="31"/>
    <x v="13"/>
    <n v="4.4000000000000004"/>
    <n v="500"/>
    <x v="1"/>
    <x v="1"/>
  </r>
  <r>
    <x v="87"/>
    <n v="1220"/>
    <n v="1555"/>
    <x v="32"/>
    <x v="23"/>
    <n v="2.9"/>
    <n v="335"/>
    <x v="0"/>
    <x v="1"/>
  </r>
  <r>
    <x v="88"/>
    <n v="299"/>
    <n v="384"/>
    <x v="32"/>
    <x v="0"/>
    <m/>
    <n v="85"/>
    <x v="2"/>
    <x v="1"/>
  </r>
  <r>
    <x v="89"/>
    <n v="3640"/>
    <n v="4588"/>
    <x v="33"/>
    <x v="8"/>
    <n v="5"/>
    <n v="948"/>
    <x v="1"/>
    <x v="1"/>
  </r>
  <r>
    <x v="90"/>
    <n v="799"/>
    <n v="999"/>
    <x v="34"/>
    <x v="14"/>
    <n v="4.0999999999999996"/>
    <n v="200"/>
    <x v="0"/>
    <x v="1"/>
  </r>
  <r>
    <x v="91"/>
    <n v="2999"/>
    <n v="3699"/>
    <x v="35"/>
    <x v="2"/>
    <n v="4.5999999999999996"/>
    <n v="700"/>
    <x v="0"/>
    <x v="2"/>
  </r>
  <r>
    <x v="92"/>
    <n v="2880"/>
    <n v="3520"/>
    <x v="36"/>
    <x v="14"/>
    <n v="3.8"/>
    <n v="640"/>
    <x v="0"/>
    <x v="2"/>
  </r>
  <r>
    <x v="93"/>
    <n v="1466"/>
    <n v="1699"/>
    <x v="37"/>
    <x v="0"/>
    <m/>
    <n v="233"/>
    <x v="3"/>
    <x v="2"/>
  </r>
  <r>
    <x v="94"/>
    <n v="1468"/>
    <n v="1699"/>
    <x v="37"/>
    <x v="0"/>
    <m/>
    <n v="231"/>
    <x v="1"/>
    <x v="2"/>
  </r>
  <r>
    <x v="95"/>
    <n v="2170"/>
    <n v="2500"/>
    <x v="38"/>
    <x v="12"/>
    <n v="2.5"/>
    <n v="330"/>
    <x v="1"/>
    <x v="2"/>
  </r>
  <r>
    <x v="96"/>
    <n v="799"/>
    <n v="900"/>
    <x v="39"/>
    <x v="0"/>
    <m/>
    <n v="101"/>
    <x v="2"/>
    <x v="2"/>
  </r>
  <r>
    <x v="97"/>
    <n v="2999"/>
    <n v="3290"/>
    <x v="40"/>
    <x v="6"/>
    <n v="4"/>
    <n v="291"/>
    <x v="1"/>
    <x v="2"/>
  </r>
  <r>
    <x v="98"/>
    <n v="1526"/>
    <n v="1660"/>
    <x v="41"/>
    <x v="0"/>
    <m/>
    <n v="134"/>
    <x v="0"/>
    <x v="2"/>
  </r>
  <r>
    <x v="99"/>
    <n v="1732"/>
    <n v="1799"/>
    <x v="42"/>
    <x v="0"/>
    <m/>
    <n v="67"/>
    <x v="1"/>
    <x v="2"/>
  </r>
  <r>
    <x v="100"/>
    <n v="3546"/>
    <n v="3699"/>
    <x v="42"/>
    <x v="0"/>
    <m/>
    <n v="153"/>
    <x v="1"/>
    <x v="2"/>
  </r>
  <r>
    <x v="101"/>
    <n v="1459"/>
    <n v="1499"/>
    <x v="43"/>
    <x v="0"/>
    <m/>
    <n v="40"/>
    <x v="1"/>
    <x v="2"/>
  </r>
  <r>
    <x v="102"/>
    <n v="1666"/>
    <n v="1699"/>
    <x v="44"/>
    <x v="0"/>
    <m/>
    <n v="33"/>
    <x v="1"/>
    <x v="2"/>
  </r>
  <r>
    <x v="103"/>
    <n v="1660"/>
    <n v="1699"/>
    <x v="44"/>
    <x v="0"/>
    <m/>
    <n v="39"/>
    <x v="1"/>
    <x v="2"/>
  </r>
  <r>
    <x v="104"/>
    <n v="1462"/>
    <n v="1499"/>
    <x v="44"/>
    <x v="0"/>
    <m/>
    <n v="37"/>
    <x v="1"/>
    <x v="2"/>
  </r>
  <r>
    <x v="105"/>
    <n v="2132"/>
    <n v="2169"/>
    <x v="44"/>
    <x v="0"/>
    <m/>
    <n v="37"/>
    <x v="1"/>
    <x v="2"/>
  </r>
  <r>
    <x v="106"/>
    <n v="1658"/>
    <n v="1699"/>
    <x v="44"/>
    <x v="0"/>
    <m/>
    <n v="41"/>
    <x v="1"/>
    <x v="2"/>
  </r>
  <r>
    <x v="107"/>
    <n v="1768"/>
    <n v="1799"/>
    <x v="44"/>
    <x v="0"/>
    <m/>
    <n v="31"/>
    <x v="1"/>
    <x v="2"/>
  </r>
  <r>
    <x v="108"/>
    <n v="1875"/>
    <n v="1899"/>
    <x v="45"/>
    <x v="0"/>
    <m/>
    <n v="24"/>
    <x v="1"/>
    <x v="2"/>
  </r>
  <r>
    <x v="109"/>
    <m/>
    <m/>
    <x v="46"/>
    <x v="0"/>
    <n v="4"/>
    <m/>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4D74A0-D809-4085-99CB-E4A66B10EE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9">
    <pivotField showAll="0"/>
    <pivotField showAll="0"/>
    <pivotField showAll="0"/>
    <pivotField axis="axisRow" numFmtId="9" showAll="0">
      <items count="13">
        <item x="0"/>
        <item x="1"/>
        <item x="2"/>
        <item x="3"/>
        <item x="4"/>
        <item x="5"/>
        <item x="6"/>
        <item x="7"/>
        <item x="8"/>
        <item x="9"/>
        <item x="10"/>
        <item x="11"/>
        <item t="default"/>
      </items>
    </pivotField>
    <pivotField dataField="1" showAll="0">
      <items count="25">
        <item x="0"/>
        <item x="11"/>
        <item x="22"/>
        <item x="8"/>
        <item x="3"/>
        <item x="2"/>
        <item x="14"/>
        <item x="9"/>
        <item x="10"/>
        <item x="1"/>
        <item x="13"/>
        <item x="5"/>
        <item x="7"/>
        <item x="4"/>
        <item x="12"/>
        <item x="20"/>
        <item x="16"/>
        <item x="15"/>
        <item x="21"/>
        <item x="18"/>
        <item x="19"/>
        <item x="17"/>
        <item x="6"/>
        <item x="23"/>
        <item t="default"/>
      </items>
    </pivotField>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items count="6">
        <item x="4"/>
        <item x="2"/>
        <item x="0"/>
        <item x="1"/>
        <item x="3"/>
        <item t="default"/>
      </items>
    </pivotField>
    <pivotField showAll="0">
      <items count="5">
        <item x="0"/>
        <item x="1"/>
        <item x="2"/>
        <item x="3"/>
        <item t="default"/>
      </items>
    </pivotField>
  </pivotFields>
  <rowFields count="1">
    <field x="3"/>
  </rowFields>
  <rowItems count="8">
    <i>
      <x v="1"/>
    </i>
    <i>
      <x v="2"/>
    </i>
    <i>
      <x v="3"/>
    </i>
    <i>
      <x v="4"/>
    </i>
    <i>
      <x v="5"/>
    </i>
    <i>
      <x v="6"/>
    </i>
    <i>
      <x v="7"/>
    </i>
    <i t="grand">
      <x/>
    </i>
  </rowItems>
  <colItems count="1">
    <i/>
  </colItems>
  <dataFields count="1">
    <dataField name="Sum of Review" fld="4" baseField="0" baseItem="0"/>
  </dataFields>
  <formats count="1">
    <format dxfId="5">
      <pivotArea dataOnly="0" labelOnly="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DF0057-7429-49A1-88D8-5FDC28DEF6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7" firstHeaderRow="1" firstDataRow="1" firstDataCol="1"/>
  <pivotFields count="9">
    <pivotField showAll="0"/>
    <pivotField showAll="0"/>
    <pivotField showAll="0"/>
    <pivotField numFmtId="9" showAll="0"/>
    <pivotField dataField="1" showAll="0">
      <items count="25">
        <item x="0"/>
        <item x="11"/>
        <item x="22"/>
        <item x="8"/>
        <item x="3"/>
        <item x="2"/>
        <item x="14"/>
        <item x="9"/>
        <item x="10"/>
        <item x="1"/>
        <item x="13"/>
        <item x="5"/>
        <item x="7"/>
        <item x="4"/>
        <item x="12"/>
        <item x="20"/>
        <item x="16"/>
        <item x="15"/>
        <item x="21"/>
        <item x="18"/>
        <item x="19"/>
        <item x="17"/>
        <item x="6"/>
        <item x="23"/>
        <item t="default"/>
      </items>
    </pivotField>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items count="6">
        <item x="4"/>
        <item x="2"/>
        <item x="0"/>
        <item x="1"/>
        <item x="3"/>
        <item t="default"/>
      </items>
    </pivotField>
    <pivotField showAll="0">
      <items count="5">
        <item x="0"/>
        <item x="1"/>
        <item x="2"/>
        <item x="3"/>
        <item t="default"/>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view" fld="4" baseField="0" baseItem="0"/>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69B05E-CF39-4E57-93AD-C7A344F0D35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9">
    <pivotField axis="axisRow" showAll="0" measureFilter="1">
      <items count="110">
        <item x="34"/>
        <item x="43"/>
        <item x="35"/>
        <item x="18"/>
        <item x="44"/>
        <item x="10"/>
        <item x="57"/>
        <item x="19"/>
        <item x="38"/>
        <item x="58"/>
        <item x="59"/>
        <item x="21"/>
        <item x="60"/>
        <item x="61"/>
        <item x="62"/>
        <item x="63"/>
        <item x="12"/>
        <item x="5"/>
        <item x="39"/>
        <item x="64"/>
        <item x="17"/>
        <item x="65"/>
        <item x="47"/>
        <item x="66"/>
        <item x="67"/>
        <item x="7"/>
        <item x="25"/>
        <item x="36"/>
        <item x="45"/>
        <item x="68"/>
        <item x="1"/>
        <item x="69"/>
        <item x="70"/>
        <item x="71"/>
        <item x="72"/>
        <item x="3"/>
        <item x="73"/>
        <item x="74"/>
        <item x="8"/>
        <item x="75"/>
        <item x="50"/>
        <item x="4"/>
        <item x="76"/>
        <item x="77"/>
        <item x="51"/>
        <item x="78"/>
        <item x="79"/>
        <item x="80"/>
        <item x="81"/>
        <item x="82"/>
        <item x="83"/>
        <item x="84"/>
        <item x="52"/>
        <item x="85"/>
        <item x="86"/>
        <item x="87"/>
        <item x="22"/>
        <item x="53"/>
        <item x="2"/>
        <item x="40"/>
        <item x="29"/>
        <item x="33"/>
        <item x="26"/>
        <item x="23"/>
        <item x="9"/>
        <item x="54"/>
        <item x="13"/>
        <item x="30"/>
        <item x="55"/>
        <item x="37"/>
        <item x="48"/>
        <item x="88"/>
        <item x="31"/>
        <item x="24"/>
        <item x="89"/>
        <item x="41"/>
        <item x="14"/>
        <item x="27"/>
        <item x="90"/>
        <item x="91"/>
        <item x="28"/>
        <item x="92"/>
        <item x="93"/>
        <item x="94"/>
        <item x="15"/>
        <item x="95"/>
        <item x="96"/>
        <item x="56"/>
        <item x="97"/>
        <item x="98"/>
        <item x="49"/>
        <item x="42"/>
        <item x="99"/>
        <item x="20"/>
        <item x="100"/>
        <item x="32"/>
        <item x="101"/>
        <item x="102"/>
        <item x="103"/>
        <item x="104"/>
        <item x="105"/>
        <item x="11"/>
        <item x="106"/>
        <item x="107"/>
        <item x="0"/>
        <item x="108"/>
        <item x="6"/>
        <item x="46"/>
        <item x="16"/>
        <item t="default"/>
      </items>
    </pivotField>
    <pivotField showAll="0"/>
    <pivotField showAll="0"/>
    <pivotField numFmtId="9" showAll="0"/>
    <pivotField showAll="0">
      <items count="25">
        <item x="0"/>
        <item x="11"/>
        <item x="22"/>
        <item x="8"/>
        <item x="3"/>
        <item x="2"/>
        <item x="14"/>
        <item x="9"/>
        <item x="10"/>
        <item x="1"/>
        <item x="13"/>
        <item x="5"/>
        <item x="7"/>
        <item x="4"/>
        <item x="12"/>
        <item x="20"/>
        <item x="16"/>
        <item x="15"/>
        <item x="21"/>
        <item x="18"/>
        <item x="19"/>
        <item x="17"/>
        <item x="6"/>
        <item x="23"/>
        <item t="default"/>
      </items>
    </pivotField>
    <pivotField dataField="1"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items count="6">
        <item x="4"/>
        <item x="2"/>
        <item x="0"/>
        <item x="1"/>
        <item x="3"/>
        <item t="default"/>
      </items>
    </pivotField>
    <pivotField showAll="0">
      <items count="5">
        <item x="0"/>
        <item x="1"/>
        <item x="2"/>
        <item x="3"/>
        <item t="default"/>
      </items>
    </pivotField>
  </pivotFields>
  <rowFields count="1">
    <field x="0"/>
  </rowFields>
  <rowItems count="8">
    <i>
      <x v="40"/>
    </i>
    <i>
      <x v="44"/>
    </i>
    <i>
      <x v="52"/>
    </i>
    <i>
      <x v="57"/>
    </i>
    <i>
      <x v="65"/>
    </i>
    <i>
      <x v="68"/>
    </i>
    <i>
      <x v="87"/>
    </i>
    <i t="grand">
      <x/>
    </i>
  </rowItems>
  <colItems count="1">
    <i/>
  </colItems>
  <dataFields count="1">
    <dataField name="Sum of Ratingd" fld="5"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AE4C8A-9A64-415E-8E12-CC4796945C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3" firstHeaderRow="1" firstDataRow="1" firstDataCol="1" rowPageCount="1" colPageCount="1"/>
  <pivotFields count="9">
    <pivotField axis="axisRow" showAll="0" sortType="ascending">
      <items count="110">
        <item x="34"/>
        <item x="43"/>
        <item x="35"/>
        <item x="18"/>
        <item x="44"/>
        <item x="10"/>
        <item x="57"/>
        <item x="19"/>
        <item x="38"/>
        <item x="58"/>
        <item x="59"/>
        <item x="21"/>
        <item x="60"/>
        <item x="61"/>
        <item x="62"/>
        <item x="63"/>
        <item x="12"/>
        <item x="5"/>
        <item x="39"/>
        <item x="64"/>
        <item x="17"/>
        <item x="65"/>
        <item x="47"/>
        <item x="66"/>
        <item x="67"/>
        <item x="7"/>
        <item x="25"/>
        <item x="36"/>
        <item x="45"/>
        <item x="68"/>
        <item x="1"/>
        <item x="69"/>
        <item x="70"/>
        <item x="71"/>
        <item x="72"/>
        <item x="3"/>
        <item x="73"/>
        <item x="74"/>
        <item x="8"/>
        <item x="75"/>
        <item x="50"/>
        <item x="4"/>
        <item x="76"/>
        <item x="77"/>
        <item x="51"/>
        <item x="78"/>
        <item x="79"/>
        <item x="80"/>
        <item x="81"/>
        <item x="82"/>
        <item x="83"/>
        <item x="84"/>
        <item x="52"/>
        <item x="85"/>
        <item x="86"/>
        <item x="87"/>
        <item x="22"/>
        <item x="53"/>
        <item x="2"/>
        <item x="40"/>
        <item x="29"/>
        <item x="33"/>
        <item x="26"/>
        <item x="23"/>
        <item x="9"/>
        <item x="54"/>
        <item x="13"/>
        <item x="30"/>
        <item x="55"/>
        <item x="37"/>
        <item x="48"/>
        <item x="88"/>
        <item x="31"/>
        <item x="24"/>
        <item x="89"/>
        <item x="41"/>
        <item x="14"/>
        <item x="27"/>
        <item x="90"/>
        <item x="91"/>
        <item x="28"/>
        <item x="92"/>
        <item x="93"/>
        <item x="94"/>
        <item x="15"/>
        <item x="95"/>
        <item x="96"/>
        <item x="56"/>
        <item x="97"/>
        <item x="98"/>
        <item x="49"/>
        <item x="42"/>
        <item x="99"/>
        <item x="20"/>
        <item x="100"/>
        <item x="32"/>
        <item x="101"/>
        <item x="102"/>
        <item x="103"/>
        <item x="104"/>
        <item x="105"/>
        <item x="11"/>
        <item x="106"/>
        <item x="107"/>
        <item x="0"/>
        <item x="108"/>
        <item x="6"/>
        <item x="46"/>
        <item x="16"/>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showAll="0">
      <items count="25">
        <item x="0"/>
        <item x="11"/>
        <item x="22"/>
        <item x="8"/>
        <item x="3"/>
        <item x="2"/>
        <item x="14"/>
        <item x="9"/>
        <item x="10"/>
        <item x="1"/>
        <item x="13"/>
        <item x="5"/>
        <item x="7"/>
        <item x="4"/>
        <item x="12"/>
        <item x="20"/>
        <item x="16"/>
        <item x="15"/>
        <item x="21"/>
        <item x="18"/>
        <item x="19"/>
        <item x="17"/>
        <item x="6"/>
        <item x="23"/>
        <item t="default"/>
      </items>
    </pivotField>
    <pivotField axis="axisPage" dataField="1" multipleItemSelectionAllowed="1"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items count="6">
        <item x="4"/>
        <item x="2"/>
        <item x="0"/>
        <item x="1"/>
        <item x="3"/>
        <item t="default"/>
      </items>
    </pivotField>
    <pivotField showAll="0">
      <items count="5">
        <item x="0"/>
        <item x="1"/>
        <item x="2"/>
        <item x="3"/>
        <item t="default"/>
      </items>
    </pivotField>
  </pivotFields>
  <rowFields count="1">
    <field x="0"/>
  </rowFields>
  <rowItems count="110">
    <i>
      <x v="54"/>
    </i>
    <i>
      <x v="53"/>
    </i>
    <i>
      <x v="46"/>
    </i>
    <i>
      <x v="47"/>
    </i>
    <i>
      <x v="6"/>
    </i>
    <i>
      <x v="48"/>
    </i>
    <i>
      <x v="103"/>
    </i>
    <i>
      <x v="49"/>
    </i>
    <i>
      <x v="12"/>
    </i>
    <i>
      <x v="50"/>
    </i>
    <i>
      <x v="14"/>
    </i>
    <i>
      <x v="51"/>
    </i>
    <i>
      <x v="19"/>
    </i>
    <i>
      <x v="55"/>
    </i>
    <i>
      <x v="23"/>
    </i>
    <i>
      <x v="71"/>
    </i>
    <i>
      <x v="29"/>
    </i>
    <i>
      <x v="74"/>
    </i>
    <i>
      <x v="32"/>
    </i>
    <i>
      <x v="78"/>
    </i>
    <i>
      <x v="34"/>
    </i>
    <i>
      <x v="79"/>
    </i>
    <i>
      <x v="37"/>
    </i>
    <i>
      <x v="81"/>
    </i>
    <i>
      <x v="42"/>
    </i>
    <i>
      <x v="82"/>
    </i>
    <i>
      <x v="45"/>
    </i>
    <i>
      <x v="83"/>
    </i>
    <i>
      <x v="9"/>
    </i>
    <i>
      <x v="85"/>
    </i>
    <i>
      <x v="13"/>
    </i>
    <i>
      <x v="86"/>
    </i>
    <i>
      <x v="21"/>
    </i>
    <i>
      <x v="88"/>
    </i>
    <i>
      <x v="31"/>
    </i>
    <i>
      <x v="89"/>
    </i>
    <i>
      <x v="36"/>
    </i>
    <i>
      <x v="92"/>
    </i>
    <i>
      <x v="43"/>
    </i>
    <i>
      <x v="94"/>
    </i>
    <i>
      <x v="10"/>
    </i>
    <i>
      <x v="96"/>
    </i>
    <i>
      <x v="24"/>
    </i>
    <i>
      <x v="97"/>
    </i>
    <i>
      <x v="39"/>
    </i>
    <i>
      <x v="98"/>
    </i>
    <i>
      <x v="15"/>
    </i>
    <i>
      <x v="99"/>
    </i>
    <i>
      <x v="105"/>
    </i>
    <i>
      <x v="100"/>
    </i>
    <i>
      <x v="33"/>
    </i>
    <i>
      <x v="102"/>
    </i>
    <i>
      <x v="104"/>
    </i>
    <i>
      <x v="58"/>
    </i>
    <i>
      <x v="30"/>
    </i>
    <i>
      <x v="41"/>
    </i>
    <i>
      <x v="35"/>
    </i>
    <i>
      <x v="106"/>
    </i>
    <i>
      <x v="17"/>
    </i>
    <i>
      <x v="25"/>
    </i>
    <i>
      <x v="38"/>
    </i>
    <i>
      <x v="64"/>
    </i>
    <i>
      <x v="5"/>
    </i>
    <i>
      <x v="101"/>
    </i>
    <i>
      <x v="108"/>
    </i>
    <i>
      <x v="84"/>
    </i>
    <i>
      <x v="76"/>
    </i>
    <i>
      <x v="16"/>
    </i>
    <i>
      <x v="66"/>
    </i>
    <i>
      <x v="20"/>
    </i>
    <i>
      <x v="93"/>
    </i>
    <i>
      <x v="7"/>
    </i>
    <i>
      <x v="3"/>
    </i>
    <i>
      <x v="11"/>
    </i>
    <i>
      <x v="73"/>
    </i>
    <i>
      <x v="63"/>
    </i>
    <i>
      <x v="56"/>
    </i>
    <i>
      <x v="26"/>
    </i>
    <i>
      <x v="77"/>
    </i>
    <i>
      <x v="62"/>
    </i>
    <i>
      <x v="80"/>
    </i>
    <i>
      <x v="95"/>
    </i>
    <i>
      <x v="67"/>
    </i>
    <i>
      <x v="72"/>
    </i>
    <i>
      <x v="60"/>
    </i>
    <i>
      <x v="61"/>
    </i>
    <i>
      <x/>
    </i>
    <i>
      <x v="69"/>
    </i>
    <i>
      <x v="27"/>
    </i>
    <i>
      <x v="2"/>
    </i>
    <i>
      <x v="18"/>
    </i>
    <i>
      <x v="75"/>
    </i>
    <i>
      <x v="59"/>
    </i>
    <i>
      <x v="8"/>
    </i>
    <i>
      <x v="91"/>
    </i>
    <i>
      <x v="4"/>
    </i>
    <i>
      <x v="107"/>
    </i>
    <i>
      <x v="28"/>
    </i>
    <i>
      <x v="1"/>
    </i>
    <i>
      <x v="70"/>
    </i>
    <i>
      <x v="90"/>
    </i>
    <i>
      <x v="22"/>
    </i>
    <i>
      <x v="57"/>
    </i>
    <i>
      <x v="52"/>
    </i>
    <i>
      <x v="40"/>
    </i>
    <i>
      <x v="65"/>
    </i>
    <i>
      <x v="87"/>
    </i>
    <i>
      <x v="44"/>
    </i>
    <i>
      <x v="68"/>
    </i>
    <i t="grand">
      <x/>
    </i>
  </rowItems>
  <colItems count="1">
    <i/>
  </colItems>
  <pageFields count="1">
    <pageField fld="5" hier="-1"/>
  </pageFields>
  <dataFields count="1">
    <dataField name="Sum of Rating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40D1CD-3CA5-4738-B295-6EFFD3F2CA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9">
    <pivotField showAll="0"/>
    <pivotField showAll="0"/>
    <pivotField showAll="0"/>
    <pivotField numFmtId="9" showAll="0"/>
    <pivotField dataField="1" showAll="0">
      <items count="25">
        <item x="0"/>
        <item x="11"/>
        <item x="22"/>
        <item x="8"/>
        <item x="3"/>
        <item x="2"/>
        <item x="14"/>
        <item x="9"/>
        <item x="10"/>
        <item x="1"/>
        <item x="13"/>
        <item x="5"/>
        <item x="7"/>
        <item x="4"/>
        <item x="12"/>
        <item x="20"/>
        <item x="16"/>
        <item x="15"/>
        <item x="21"/>
        <item x="18"/>
        <item x="19"/>
        <item x="17"/>
        <item x="6"/>
        <item x="23"/>
        <item t="default"/>
      </items>
    </pivotField>
    <pivotField dataField="1"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items count="6">
        <item x="4"/>
        <item x="2"/>
        <item x="0"/>
        <item x="1"/>
        <item x="3"/>
        <item t="default"/>
      </items>
    </pivotField>
    <pivotField axis="axisRow" showAll="0">
      <items count="5">
        <item x="0"/>
        <item x="1"/>
        <item x="2"/>
        <item x="3"/>
        <item t="default"/>
      </items>
    </pivotField>
  </pivotFields>
  <rowFields count="1">
    <field x="8"/>
  </rowFields>
  <rowItems count="5">
    <i>
      <x/>
    </i>
    <i>
      <x v="1"/>
    </i>
    <i>
      <x v="2"/>
    </i>
    <i>
      <x v="3"/>
    </i>
    <i t="grand">
      <x/>
    </i>
  </rowItems>
  <colFields count="1">
    <field x="-2"/>
  </colFields>
  <colItems count="2">
    <i>
      <x/>
    </i>
    <i i="1">
      <x v="1"/>
    </i>
  </colItems>
  <dataFields count="2">
    <dataField name="Average of Ratingd" fld="5" subtotal="average" baseField="8" baseItem="0"/>
    <dataField name="Average of Review" fld="4" subtotal="average" baseField="8"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63A25A-F0DD-4DA3-A190-10D1E6009A7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4" firstHeaderRow="0" firstDataRow="1" firstDataCol="1"/>
  <pivotFields count="9">
    <pivotField axis="axisRow" showAll="0" measureFilter="1">
      <items count="111">
        <item x="109"/>
        <item x="61"/>
        <item x="70"/>
        <item x="62"/>
        <item x="76"/>
        <item x="71"/>
        <item x="19"/>
        <item x="81"/>
        <item x="47"/>
        <item x="84"/>
        <item x="85"/>
        <item x="102"/>
        <item x="97"/>
        <item x="108"/>
        <item x="14"/>
        <item x="63"/>
        <item x="39"/>
        <item x="60"/>
        <item x="13"/>
        <item x="21"/>
        <item x="50"/>
        <item x="7"/>
        <item x="24"/>
        <item x="38"/>
        <item x="25"/>
        <item x="53"/>
        <item x="95"/>
        <item x="77"/>
        <item x="79"/>
        <item x="80"/>
        <item x="67"/>
        <item x="2"/>
        <item x="0"/>
        <item x="40"/>
        <item x="75"/>
        <item x="26"/>
        <item x="36"/>
        <item x="54"/>
        <item x="57"/>
        <item x="46"/>
        <item x="27"/>
        <item x="11"/>
        <item x="45"/>
        <item x="28"/>
        <item x="55"/>
        <item x="22"/>
        <item x="41"/>
        <item x="15"/>
        <item x="29"/>
        <item x="30"/>
        <item x="72"/>
        <item x="16"/>
        <item x="32"/>
        <item x="8"/>
        <item x="1"/>
        <item x="99"/>
        <item x="58"/>
        <item x="65"/>
        <item x="59"/>
        <item x="35"/>
        <item x="69"/>
        <item x="10"/>
        <item x="86"/>
        <item x="90"/>
        <item x="20"/>
        <item x="9"/>
        <item x="89"/>
        <item x="78"/>
        <item x="6"/>
        <item x="23"/>
        <item x="52"/>
        <item x="3"/>
        <item x="64"/>
        <item x="31"/>
        <item x="68"/>
        <item x="73"/>
        <item x="91"/>
        <item x="42"/>
        <item x="37"/>
        <item x="100"/>
        <item x="17"/>
        <item x="74"/>
        <item x="51"/>
        <item x="44"/>
        <item x="101"/>
        <item x="5"/>
        <item x="93"/>
        <item x="96"/>
        <item x="43"/>
        <item x="103"/>
        <item x="88"/>
        <item x="82"/>
        <item x="83"/>
        <item x="104"/>
        <item x="92"/>
        <item x="33"/>
        <item x="56"/>
        <item x="34"/>
        <item x="105"/>
        <item x="106"/>
        <item x="4"/>
        <item x="107"/>
        <item x="87"/>
        <item x="18"/>
        <item x="98"/>
        <item x="12"/>
        <item x="94"/>
        <item x="48"/>
        <item x="66"/>
        <item x="49"/>
        <item t="default"/>
      </items>
    </pivotField>
    <pivotField showAll="0"/>
    <pivotField showAll="0"/>
    <pivotField dataField="1" numFmtId="9" showAll="0">
      <items count="10">
        <item x="0"/>
        <item x="1"/>
        <item x="2"/>
        <item x="3"/>
        <item x="4"/>
        <item x="5"/>
        <item x="6"/>
        <item x="7"/>
        <item x="8"/>
        <item t="default"/>
      </items>
    </pivotField>
    <pivotField dataField="1" showAll="0">
      <items count="25">
        <item x="8"/>
        <item x="5"/>
        <item x="11"/>
        <item x="2"/>
        <item x="12"/>
        <item x="4"/>
        <item x="7"/>
        <item x="3"/>
        <item x="14"/>
        <item x="1"/>
        <item x="13"/>
        <item x="6"/>
        <item x="23"/>
        <item x="15"/>
        <item x="19"/>
        <item x="21"/>
        <item x="20"/>
        <item x="16"/>
        <item x="18"/>
        <item x="10"/>
        <item x="17"/>
        <item x="22"/>
        <item x="9"/>
        <item x="0"/>
        <item t="default"/>
      </items>
    </pivotField>
    <pivotField dataField="1" showAll="0"/>
    <pivotField showAll="0"/>
    <pivotField showAll="0"/>
    <pivotField showAll="0"/>
  </pivotFields>
  <rowFields count="1">
    <field x="0"/>
  </rowFields>
  <rowItems count="11">
    <i>
      <x v="2"/>
    </i>
    <i>
      <x v="6"/>
    </i>
    <i>
      <x v="9"/>
    </i>
    <i>
      <x v="19"/>
    </i>
    <i>
      <x v="27"/>
    </i>
    <i>
      <x v="28"/>
    </i>
    <i>
      <x v="29"/>
    </i>
    <i>
      <x v="60"/>
    </i>
    <i>
      <x v="92"/>
    </i>
    <i>
      <x v="96"/>
    </i>
    <i t="grand">
      <x/>
    </i>
  </rowItems>
  <colFields count="1">
    <field x="-2"/>
  </colFields>
  <colItems count="3">
    <i>
      <x/>
    </i>
    <i i="1">
      <x v="1"/>
    </i>
    <i i="2">
      <x v="2"/>
    </i>
  </colItems>
  <dataFields count="3">
    <dataField name="Sum of Review" fld="4" baseField="0" baseItem="0"/>
    <dataField name="Sum of Ratingd" fld="5" baseField="0" baseItem="0"/>
    <dataField name="Sum of Discount" fld="3" baseField="0" baseItem="0" numFmtId="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58D286-BDB0-4B94-93B3-6197B566440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9">
    <pivotField axis="axisRow" showAll="0" measureFilter="1">
      <items count="111">
        <item x="109"/>
        <item x="61"/>
        <item x="70"/>
        <item x="62"/>
        <item x="76"/>
        <item x="71"/>
        <item x="19"/>
        <item x="81"/>
        <item x="47"/>
        <item x="84"/>
        <item x="85"/>
        <item x="102"/>
        <item x="97"/>
        <item x="108"/>
        <item x="14"/>
        <item x="63"/>
        <item x="39"/>
        <item x="60"/>
        <item x="13"/>
        <item x="21"/>
        <item x="50"/>
        <item x="7"/>
        <item x="24"/>
        <item x="38"/>
        <item x="25"/>
        <item x="53"/>
        <item x="95"/>
        <item x="77"/>
        <item x="79"/>
        <item x="80"/>
        <item x="67"/>
        <item x="2"/>
        <item x="0"/>
        <item x="40"/>
        <item x="75"/>
        <item x="26"/>
        <item x="36"/>
        <item x="54"/>
        <item x="57"/>
        <item x="46"/>
        <item x="27"/>
        <item x="11"/>
        <item x="45"/>
        <item x="28"/>
        <item x="55"/>
        <item x="22"/>
        <item x="41"/>
        <item x="15"/>
        <item x="29"/>
        <item x="30"/>
        <item x="72"/>
        <item x="16"/>
        <item x="32"/>
        <item x="8"/>
        <item x="1"/>
        <item x="99"/>
        <item x="58"/>
        <item x="65"/>
        <item x="59"/>
        <item x="35"/>
        <item x="69"/>
        <item x="10"/>
        <item x="86"/>
        <item x="90"/>
        <item x="20"/>
        <item x="9"/>
        <item x="89"/>
        <item x="78"/>
        <item x="6"/>
        <item x="23"/>
        <item x="52"/>
        <item x="3"/>
        <item x="64"/>
        <item x="31"/>
        <item x="68"/>
        <item x="73"/>
        <item x="91"/>
        <item x="42"/>
        <item x="37"/>
        <item x="100"/>
        <item x="17"/>
        <item x="74"/>
        <item x="51"/>
        <item x="44"/>
        <item x="101"/>
        <item x="5"/>
        <item x="93"/>
        <item x="96"/>
        <item x="43"/>
        <item x="103"/>
        <item x="88"/>
        <item x="82"/>
        <item x="83"/>
        <item x="104"/>
        <item x="92"/>
        <item x="33"/>
        <item x="56"/>
        <item x="34"/>
        <item x="105"/>
        <item x="106"/>
        <item x="4"/>
        <item x="107"/>
        <item x="87"/>
        <item x="18"/>
        <item x="98"/>
        <item x="12"/>
        <item x="94"/>
        <item x="48"/>
        <item x="66"/>
        <item x="49"/>
        <item t="default"/>
      </items>
    </pivotField>
    <pivotField showAll="0"/>
    <pivotField showAll="0"/>
    <pivotField numFmtId="9" showAll="0">
      <items count="10">
        <item x="0"/>
        <item x="1"/>
        <item x="2"/>
        <item x="3"/>
        <item x="4"/>
        <item x="5"/>
        <item x="6"/>
        <item x="7"/>
        <item x="8"/>
        <item t="default"/>
      </items>
    </pivotField>
    <pivotField showAll="0"/>
    <pivotField dataField="1" showAll="0"/>
    <pivotField showAll="0"/>
    <pivotField showAll="0"/>
    <pivotField showAll="0"/>
  </pivotFields>
  <rowFields count="1">
    <field x="0"/>
  </rowFields>
  <rowItems count="11">
    <i>
      <x v="23"/>
    </i>
    <i>
      <x v="41"/>
    </i>
    <i>
      <x v="45"/>
    </i>
    <i>
      <x v="53"/>
    </i>
    <i>
      <x v="58"/>
    </i>
    <i>
      <x v="66"/>
    </i>
    <i>
      <x v="69"/>
    </i>
    <i>
      <x v="71"/>
    </i>
    <i>
      <x v="88"/>
    </i>
    <i>
      <x v="91"/>
    </i>
    <i t="grand">
      <x/>
    </i>
  </rowItems>
  <colItems count="1">
    <i/>
  </colItems>
  <dataFields count="1">
    <dataField name="Sum of Ratingd" fld="5"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F5BBE2-EE30-4DE4-8758-9D8E6E32537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8" firstHeaderRow="1" firstDataRow="2" firstDataCol="1"/>
  <pivotFields count="9">
    <pivotField dataField="1" showAll="0">
      <items count="111">
        <item x="109"/>
        <item x="61"/>
        <item x="70"/>
        <item x="62"/>
        <item x="76"/>
        <item x="71"/>
        <item x="19"/>
        <item x="81"/>
        <item x="47"/>
        <item x="84"/>
        <item x="85"/>
        <item x="102"/>
        <item x="97"/>
        <item x="108"/>
        <item x="14"/>
        <item x="63"/>
        <item x="39"/>
        <item x="60"/>
        <item x="13"/>
        <item x="21"/>
        <item x="50"/>
        <item x="7"/>
        <item x="24"/>
        <item x="38"/>
        <item x="25"/>
        <item x="53"/>
        <item x="95"/>
        <item x="77"/>
        <item x="79"/>
        <item x="80"/>
        <item x="67"/>
        <item x="2"/>
        <item x="0"/>
        <item x="40"/>
        <item x="75"/>
        <item x="26"/>
        <item x="36"/>
        <item x="54"/>
        <item x="57"/>
        <item x="46"/>
        <item x="27"/>
        <item x="11"/>
        <item x="45"/>
        <item x="28"/>
        <item x="55"/>
        <item x="22"/>
        <item x="41"/>
        <item x="15"/>
        <item x="29"/>
        <item x="30"/>
        <item x="72"/>
        <item x="16"/>
        <item x="32"/>
        <item x="8"/>
        <item x="1"/>
        <item x="99"/>
        <item x="58"/>
        <item x="65"/>
        <item x="59"/>
        <item x="35"/>
        <item x="69"/>
        <item x="10"/>
        <item x="86"/>
        <item x="90"/>
        <item x="20"/>
        <item x="9"/>
        <item x="89"/>
        <item x="78"/>
        <item x="6"/>
        <item x="23"/>
        <item x="52"/>
        <item x="3"/>
        <item x="64"/>
        <item x="31"/>
        <item x="68"/>
        <item x="73"/>
        <item x="91"/>
        <item x="42"/>
        <item x="37"/>
        <item x="100"/>
        <item x="17"/>
        <item x="74"/>
        <item x="51"/>
        <item x="44"/>
        <item x="101"/>
        <item x="5"/>
        <item x="93"/>
        <item x="96"/>
        <item x="43"/>
        <item x="103"/>
        <item x="88"/>
        <item x="82"/>
        <item x="83"/>
        <item x="104"/>
        <item x="92"/>
        <item x="33"/>
        <item x="56"/>
        <item x="34"/>
        <item x="105"/>
        <item x="106"/>
        <item x="4"/>
        <item x="107"/>
        <item x="87"/>
        <item x="18"/>
        <item x="98"/>
        <item x="12"/>
        <item x="94"/>
        <item x="48"/>
        <item x="66"/>
        <item x="49"/>
        <item t="default"/>
      </items>
    </pivotField>
    <pivotField showAll="0"/>
    <pivotField showAll="0"/>
    <pivotField numFmtId="9" showAll="0">
      <items count="10">
        <item x="0"/>
        <item x="1"/>
        <item x="2"/>
        <item x="3"/>
        <item x="4"/>
        <item x="5"/>
        <item x="6"/>
        <item x="7"/>
        <item x="8"/>
        <item t="default"/>
      </items>
    </pivotField>
    <pivotField showAll="0">
      <items count="25">
        <item x="8"/>
        <item x="5"/>
        <item x="11"/>
        <item x="2"/>
        <item x="12"/>
        <item x="4"/>
        <item x="7"/>
        <item x="3"/>
        <item x="14"/>
        <item x="1"/>
        <item x="13"/>
        <item x="6"/>
        <item x="23"/>
        <item x="15"/>
        <item x="19"/>
        <item x="21"/>
        <item x="20"/>
        <item x="16"/>
        <item x="18"/>
        <item x="10"/>
        <item x="17"/>
        <item x="22"/>
        <item x="9"/>
        <item x="0"/>
        <item t="default"/>
      </items>
    </pivotField>
    <pivotField showAll="0"/>
    <pivotField showAll="0"/>
    <pivotField axis="axisRow" multipleItemSelectionAllowed="1" showAll="0">
      <items count="6">
        <item h="1" x="1"/>
        <item x="3"/>
        <item x="0"/>
        <item x="2"/>
        <item h="1" x="4"/>
        <item t="default"/>
      </items>
    </pivotField>
    <pivotField axis="axisCol" showAll="0">
      <items count="5">
        <item x="0"/>
        <item x="2"/>
        <item x="1"/>
        <item h="1" x="3"/>
        <item t="default"/>
      </items>
    </pivotField>
  </pivotFields>
  <rowFields count="1">
    <field x="7"/>
  </rowFields>
  <rowItems count="4">
    <i>
      <x v="1"/>
    </i>
    <i>
      <x v="2"/>
    </i>
    <i>
      <x v="3"/>
    </i>
    <i t="grand">
      <x/>
    </i>
  </rowItems>
  <colFields count="1">
    <field x="8"/>
  </colFields>
  <colItems count="4">
    <i>
      <x/>
    </i>
    <i>
      <x v="1"/>
    </i>
    <i>
      <x v="2"/>
    </i>
    <i t="grand">
      <x/>
    </i>
  </colItems>
  <dataFields count="1">
    <dataField name="Count of Product"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2">
          <reference field="4294967294" count="1" selected="0">
            <x v="0"/>
          </reference>
          <reference field="8" count="1" selected="0">
            <x v="1"/>
          </reference>
        </references>
      </pivotArea>
    </chartFormat>
    <chartFormat chart="2" format="9" series="1">
      <pivotArea type="data" outline="0" fieldPosition="0">
        <references count="2">
          <reference field="4294967294" count="1" selected="0">
            <x v="0"/>
          </reference>
          <reference field="8" count="1" selected="0">
            <x v="2"/>
          </reference>
        </references>
      </pivotArea>
    </chartFormat>
    <chartFormat chart="6" format="13" series="1">
      <pivotArea type="data" outline="0" fieldPosition="0">
        <references count="2">
          <reference field="4294967294" count="1" selected="0">
            <x v="0"/>
          </reference>
          <reference field="8" count="1" selected="0">
            <x v="0"/>
          </reference>
        </references>
      </pivotArea>
    </chartFormat>
    <chartFormat chart="6" format="14" series="1">
      <pivotArea type="data" outline="0" fieldPosition="0">
        <references count="2">
          <reference field="4294967294" count="1" selected="0">
            <x v="0"/>
          </reference>
          <reference field="8" count="1" selected="0">
            <x v="1"/>
          </reference>
        </references>
      </pivotArea>
    </chartFormat>
    <chartFormat chart="6" format="15"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F769AC68-CA91-490A-98F5-0D2D45F20BEE}" sourceName="discount category">
  <pivotTables>
    <pivotTable tabId="5" name="PivotTable6"/>
    <pivotTable tabId="10" name="PivotTable1"/>
    <pivotTable tabId="12" name="PivotTable2"/>
    <pivotTable tabId="9" name="PivotTable10"/>
    <pivotTable tabId="6" name="PivotTable7"/>
  </pivotTables>
  <data>
    <tabular pivotCacheId="27529181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46C606D9-82E6-47B6-B9A0-F9DAB9F24664}" sourceName="Review">
  <pivotTables>
    <pivotTable tabId="5" name="PivotTable6"/>
    <pivotTable tabId="10" name="PivotTable1"/>
    <pivotTable tabId="12" name="PivotTable2"/>
    <pivotTable tabId="9" name="PivotTable10"/>
    <pivotTable tabId="6" name="PivotTable7"/>
  </pivotTables>
  <data>
    <tabular pivotCacheId="275291811">
      <items count="24">
        <i x="0" s="1"/>
        <i x="11" s="1"/>
        <i x="22" s="1"/>
        <i x="8" s="1"/>
        <i x="3" s="1"/>
        <i x="2" s="1"/>
        <i x="14" s="1"/>
        <i x="9" s="1"/>
        <i x="10" s="1"/>
        <i x="1" s="1"/>
        <i x="13" s="1"/>
        <i x="5" s="1"/>
        <i x="7" s="1"/>
        <i x="4" s="1"/>
        <i x="12" s="1"/>
        <i x="20" s="1"/>
        <i x="16" s="1"/>
        <i x="15" s="1"/>
        <i x="21" s="1"/>
        <i x="18" s="1"/>
        <i x="19" s="1"/>
        <i x="17" s="1"/>
        <i x="6" s="1"/>
        <i x="2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4F382071-5D20-4766-B821-753F58DAE900}" sourceName="Rating category">
  <pivotTables>
    <pivotTable tabId="6" name="PivotTable7"/>
    <pivotTable tabId="5" name="PivotTable6"/>
    <pivotTable tabId="10" name="PivotTable1"/>
    <pivotTable tabId="12" name="PivotTable2"/>
    <pivotTable tabId="9" name="PivotTable10"/>
  </pivotTables>
  <data>
    <tabular pivotCacheId="275291811">
      <items count="5">
        <i x="2" s="1"/>
        <i x="0" s="1"/>
        <i x="1"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 xr10:uid="{0B60ED76-3A5E-4D2F-BE7F-C7B21380BE4D}" sourceName="Ratingd">
  <pivotTables>
    <pivotTable tabId="12" name="PivotTable2"/>
    <pivotTable tabId="5" name="PivotTable6"/>
    <pivotTable tabId="10" name="PivotTable1"/>
    <pivotTable tabId="9" name="PivotTable10"/>
    <pivotTable tabId="6" name="PivotTable7"/>
  </pivotTables>
  <data>
    <tabular pivotCacheId="275291811">
      <items count="23">
        <i x="0" s="1"/>
        <i x="1" s="1"/>
        <i x="2" s="1"/>
        <i x="3" s="1"/>
        <i x="4" s="1"/>
        <i x="5" s="1"/>
        <i x="6" s="1"/>
        <i x="7" s="1"/>
        <i x="8" s="1"/>
        <i x="9" s="1"/>
        <i x="10" s="1"/>
        <i x="11" s="1"/>
        <i x="12" s="1"/>
        <i x="13" s="1"/>
        <i x="14" s="1"/>
        <i x="15" s="1"/>
        <i x="16" s="1"/>
        <i x="17" s="1"/>
        <i x="18" s="1"/>
        <i x="19" s="1"/>
        <i x="20" s="1"/>
        <i x="21" s="1"/>
        <i x="2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3B873A8A-F4EA-4552-B72A-179B4F4A8633}" cache="Slicer_discount_category" caption="discount category" rowHeight="247650"/>
  <slicer name="Review 1" xr10:uid="{214B89E7-D2E7-4D14-A0B8-0FA21512FC7A}" cache="Slicer_Review" caption="Review" rowHeight="247650"/>
  <slicer name="Rating category 1" xr10:uid="{64FB0617-E010-4492-825F-E407B3F6569D}" cache="Slicer_Rating_category" caption="Rating category" rowHeight="247650"/>
  <slicer name="Ratingd 1" xr10:uid="{BC6F5C45-800E-4678-B84F-D0CBE041876A}" cache="Slicer_Ratingd" caption="Rating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A8E6AA9A-1467-4214-BF0C-ACDB2532A406}" cache="Slicer_discount_category" caption="discount category" rowHeight="247650"/>
  <slicer name="Review" xr10:uid="{1F7A3D3E-3BBE-4EA0-AF6D-07EB710CF3D2}" cache="Slicer_Review" caption="Review"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F5C2DE7E-53C3-4AA3-905C-C62939E161E7}" cache="Slicer_Rating_category" caption="Rating catego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d" xr10:uid="{FC2D0388-8437-409C-905F-C0DE881960D8}" cache="Slicer_Ratingd" caption="Ratingd"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75C5A-F158-41A0-800F-E1F0C29F9CBF}">
  <dimension ref="N36:N37"/>
  <sheetViews>
    <sheetView tabSelected="1" topLeftCell="A7" zoomScale="87" zoomScaleNormal="87" workbookViewId="0">
      <selection activeCell="AN24" sqref="AN24"/>
    </sheetView>
  </sheetViews>
  <sheetFormatPr defaultRowHeight="14.4" x14ac:dyDescent="0.3"/>
  <cols>
    <col min="1" max="16384" width="8.88671875" style="15"/>
  </cols>
  <sheetData>
    <row r="36" spans="14:14" ht="15" thickBot="1" x14ac:dyDescent="0.35"/>
    <row r="37" spans="14:14" ht="15" thickBot="1" x14ac:dyDescent="0.35">
      <c r="N37"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F458-8611-4541-AF95-4B17B2967491}">
  <dimension ref="A3:B11"/>
  <sheetViews>
    <sheetView workbookViewId="0">
      <selection activeCell="B6" sqref="B6"/>
    </sheetView>
  </sheetViews>
  <sheetFormatPr defaultRowHeight="14.4" x14ac:dyDescent="0.3"/>
  <cols>
    <col min="1" max="1" width="12.44140625" bestFit="1" customWidth="1"/>
    <col min="2" max="2" width="12.88671875" bestFit="1" customWidth="1"/>
    <col min="3" max="8" width="2" bestFit="1" customWidth="1"/>
    <col min="9" max="24" width="3" bestFit="1" customWidth="1"/>
    <col min="25" max="25" width="7" bestFit="1" customWidth="1"/>
    <col min="26" max="26" width="10.5546875" bestFit="1" customWidth="1"/>
  </cols>
  <sheetData>
    <row r="3" spans="1:2" x14ac:dyDescent="0.3">
      <c r="A3" s="8" t="s">
        <v>122</v>
      </c>
      <c r="B3" t="s">
        <v>125</v>
      </c>
    </row>
    <row r="4" spans="1:2" x14ac:dyDescent="0.3">
      <c r="A4" s="11" t="s">
        <v>126</v>
      </c>
      <c r="B4" s="17">
        <v>15</v>
      </c>
    </row>
    <row r="5" spans="1:2" x14ac:dyDescent="0.3">
      <c r="A5" s="11" t="s">
        <v>127</v>
      </c>
      <c r="B5" s="17">
        <v>35</v>
      </c>
    </row>
    <row r="6" spans="1:2" x14ac:dyDescent="0.3">
      <c r="A6" s="11" t="s">
        <v>128</v>
      </c>
      <c r="B6" s="17">
        <v>192</v>
      </c>
    </row>
    <row r="7" spans="1:2" x14ac:dyDescent="0.3">
      <c r="A7" s="11" t="s">
        <v>129</v>
      </c>
      <c r="B7" s="17">
        <v>147</v>
      </c>
    </row>
    <row r="8" spans="1:2" x14ac:dyDescent="0.3">
      <c r="A8" s="11" t="s">
        <v>130</v>
      </c>
      <c r="B8" s="17">
        <v>258</v>
      </c>
    </row>
    <row r="9" spans="1:2" x14ac:dyDescent="0.3">
      <c r="A9" s="11" t="s">
        <v>131</v>
      </c>
      <c r="B9" s="17">
        <v>76</v>
      </c>
    </row>
    <row r="10" spans="1:2" x14ac:dyDescent="0.3">
      <c r="A10" s="11" t="s">
        <v>132</v>
      </c>
      <c r="B10" s="17"/>
    </row>
    <row r="11" spans="1:2" x14ac:dyDescent="0.3">
      <c r="A11" s="9" t="s">
        <v>123</v>
      </c>
      <c r="B11" s="17">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582A-38B0-4475-9F69-9831B3EAD984}">
  <dimension ref="A3:B27"/>
  <sheetViews>
    <sheetView workbookViewId="0">
      <selection activeCell="B7" sqref="B7"/>
    </sheetView>
  </sheetViews>
  <sheetFormatPr defaultRowHeight="14.4" x14ac:dyDescent="0.3"/>
  <cols>
    <col min="1" max="1" width="12.44140625" bestFit="1" customWidth="1"/>
    <col min="2" max="2" width="12.88671875" bestFit="1" customWidth="1"/>
  </cols>
  <sheetData>
    <row r="3" spans="1:2" x14ac:dyDescent="0.3">
      <c r="A3" s="8" t="s">
        <v>122</v>
      </c>
      <c r="B3" t="s">
        <v>125</v>
      </c>
    </row>
    <row r="4" spans="1:2" x14ac:dyDescent="0.3">
      <c r="A4" s="10">
        <v>2</v>
      </c>
      <c r="B4" s="17">
        <v>1</v>
      </c>
    </row>
    <row r="5" spans="1:2" x14ac:dyDescent="0.3">
      <c r="A5" s="10">
        <v>2.1</v>
      </c>
      <c r="B5" s="17">
        <v>20</v>
      </c>
    </row>
    <row r="6" spans="1:2" x14ac:dyDescent="0.3">
      <c r="A6" s="10">
        <v>2.2000000000000002</v>
      </c>
      <c r="B6" s="17">
        <v>12</v>
      </c>
    </row>
    <row r="7" spans="1:2" x14ac:dyDescent="0.3">
      <c r="A7" s="10">
        <v>2.2999999999999998</v>
      </c>
      <c r="B7" s="17">
        <v>13</v>
      </c>
    </row>
    <row r="8" spans="1:2" x14ac:dyDescent="0.3">
      <c r="A8" s="10">
        <v>2.5</v>
      </c>
      <c r="B8" s="17">
        <v>6</v>
      </c>
    </row>
    <row r="9" spans="1:2" x14ac:dyDescent="0.3">
      <c r="A9" s="10">
        <v>2.6</v>
      </c>
      <c r="B9" s="17">
        <v>17</v>
      </c>
    </row>
    <row r="10" spans="1:2" x14ac:dyDescent="0.3">
      <c r="A10" s="10">
        <v>2.7</v>
      </c>
      <c r="B10" s="17">
        <v>15</v>
      </c>
    </row>
    <row r="11" spans="1:2" x14ac:dyDescent="0.3">
      <c r="A11" s="10">
        <v>2.8</v>
      </c>
      <c r="B11" s="17">
        <v>69</v>
      </c>
    </row>
    <row r="12" spans="1:2" x14ac:dyDescent="0.3">
      <c r="A12" s="10">
        <v>2.9</v>
      </c>
      <c r="B12" s="17">
        <v>16</v>
      </c>
    </row>
    <row r="13" spans="1:2" x14ac:dyDescent="0.3">
      <c r="A13" s="10">
        <v>3</v>
      </c>
      <c r="B13" s="17">
        <v>26</v>
      </c>
    </row>
    <row r="14" spans="1:2" x14ac:dyDescent="0.3">
      <c r="A14" s="10">
        <v>3.3</v>
      </c>
      <c r="B14" s="17">
        <v>13</v>
      </c>
    </row>
    <row r="15" spans="1:2" x14ac:dyDescent="0.3">
      <c r="A15" s="10">
        <v>3.8</v>
      </c>
      <c r="B15" s="17">
        <v>30</v>
      </c>
    </row>
    <row r="16" spans="1:2" x14ac:dyDescent="0.3">
      <c r="A16" s="10">
        <v>4</v>
      </c>
      <c r="B16" s="17">
        <v>24</v>
      </c>
    </row>
    <row r="17" spans="1:2" x14ac:dyDescent="0.3">
      <c r="A17" s="10">
        <v>4.0999999999999996</v>
      </c>
      <c r="B17" s="17">
        <v>46</v>
      </c>
    </row>
    <row r="18" spans="1:2" x14ac:dyDescent="0.3">
      <c r="A18" s="10">
        <v>4.2</v>
      </c>
      <c r="B18" s="17">
        <v>9</v>
      </c>
    </row>
    <row r="19" spans="1:2" x14ac:dyDescent="0.3">
      <c r="A19" s="10">
        <v>4.3</v>
      </c>
      <c r="B19" s="17">
        <v>61</v>
      </c>
    </row>
    <row r="20" spans="1:2" x14ac:dyDescent="0.3">
      <c r="A20" s="10">
        <v>4.4000000000000004</v>
      </c>
      <c r="B20" s="17">
        <v>14</v>
      </c>
    </row>
    <row r="21" spans="1:2" x14ac:dyDescent="0.3">
      <c r="A21" s="10">
        <v>4.5</v>
      </c>
      <c r="B21" s="17">
        <v>42</v>
      </c>
    </row>
    <row r="22" spans="1:2" x14ac:dyDescent="0.3">
      <c r="A22" s="10">
        <v>4.5999999999999996</v>
      </c>
      <c r="B22" s="17">
        <v>177</v>
      </c>
    </row>
    <row r="23" spans="1:2" x14ac:dyDescent="0.3">
      <c r="A23" s="10">
        <v>4.7</v>
      </c>
      <c r="B23" s="17">
        <v>78</v>
      </c>
    </row>
    <row r="24" spans="1:2" x14ac:dyDescent="0.3">
      <c r="A24" s="10">
        <v>4.8</v>
      </c>
      <c r="B24" s="17">
        <v>22</v>
      </c>
    </row>
    <row r="25" spans="1:2" x14ac:dyDescent="0.3">
      <c r="A25" s="10">
        <v>5</v>
      </c>
      <c r="B25" s="17">
        <v>12</v>
      </c>
    </row>
    <row r="26" spans="1:2" x14ac:dyDescent="0.3">
      <c r="A26" s="10" t="s">
        <v>124</v>
      </c>
      <c r="B26" s="17"/>
    </row>
    <row r="27" spans="1:2" x14ac:dyDescent="0.3">
      <c r="A27" s="10" t="s">
        <v>123</v>
      </c>
      <c r="B27" s="17">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7B067-B459-41B8-B70D-A451D475F9EC}">
  <dimension ref="A3:B11"/>
  <sheetViews>
    <sheetView workbookViewId="0">
      <selection activeCell="A4" sqref="A4"/>
    </sheetView>
  </sheetViews>
  <sheetFormatPr defaultRowHeight="14.4" x14ac:dyDescent="0.3"/>
  <cols>
    <col min="1" max="1" width="62.77734375" bestFit="1" customWidth="1"/>
    <col min="2" max="2" width="13.44140625" bestFit="1" customWidth="1"/>
    <col min="3" max="10" width="4" bestFit="1" customWidth="1"/>
    <col min="11" max="11" width="2" bestFit="1" customWidth="1"/>
    <col min="12" max="13" width="4" bestFit="1" customWidth="1"/>
    <col min="14" max="14" width="2" bestFit="1" customWidth="1"/>
    <col min="15" max="22" width="4" bestFit="1" customWidth="1"/>
    <col min="23" max="23" width="2" bestFit="1" customWidth="1"/>
    <col min="24" max="24" width="7" bestFit="1" customWidth="1"/>
    <col min="25" max="25" width="10.5546875" bestFit="1" customWidth="1"/>
  </cols>
  <sheetData>
    <row r="3" spans="1:2" x14ac:dyDescent="0.3">
      <c r="A3" s="8" t="s">
        <v>122</v>
      </c>
      <c r="B3" t="s">
        <v>134</v>
      </c>
    </row>
    <row r="4" spans="1:2" x14ac:dyDescent="0.3">
      <c r="A4" s="10" t="s">
        <v>21</v>
      </c>
      <c r="B4" s="17">
        <v>5</v>
      </c>
    </row>
    <row r="5" spans="1:2" x14ac:dyDescent="0.3">
      <c r="A5" s="10" t="s">
        <v>84</v>
      </c>
      <c r="B5" s="17">
        <v>5</v>
      </c>
    </row>
    <row r="6" spans="1:2" x14ac:dyDescent="0.3">
      <c r="A6" s="10" t="s">
        <v>42</v>
      </c>
      <c r="B6" s="17">
        <v>5</v>
      </c>
    </row>
    <row r="7" spans="1:2" x14ac:dyDescent="0.3">
      <c r="A7" s="10" t="s">
        <v>41</v>
      </c>
      <c r="B7" s="17">
        <v>5</v>
      </c>
    </row>
    <row r="8" spans="1:2" x14ac:dyDescent="0.3">
      <c r="A8" s="10" t="s">
        <v>104</v>
      </c>
      <c r="B8" s="17">
        <v>5</v>
      </c>
    </row>
    <row r="9" spans="1:2" x14ac:dyDescent="0.3">
      <c r="A9" s="10" t="s">
        <v>23</v>
      </c>
      <c r="B9" s="17">
        <v>5</v>
      </c>
    </row>
    <row r="10" spans="1:2" x14ac:dyDescent="0.3">
      <c r="A10" s="10" t="s">
        <v>22</v>
      </c>
      <c r="B10" s="17">
        <v>5</v>
      </c>
    </row>
    <row r="11" spans="1:2" x14ac:dyDescent="0.3">
      <c r="A11" s="10" t="s">
        <v>123</v>
      </c>
      <c r="B11" s="17">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DC0A-84C5-4D71-9474-81BA0596BF0B}">
  <dimension ref="A1:B113"/>
  <sheetViews>
    <sheetView workbookViewId="0">
      <selection activeCell="B7" sqref="B7"/>
    </sheetView>
  </sheetViews>
  <sheetFormatPr defaultRowHeight="14.4" x14ac:dyDescent="0.3"/>
  <cols>
    <col min="1" max="1" width="85.33203125" bestFit="1" customWidth="1"/>
    <col min="2" max="2" width="13.44140625" bestFit="1" customWidth="1"/>
  </cols>
  <sheetData>
    <row r="1" spans="1:2" x14ac:dyDescent="0.3">
      <c r="A1" s="8" t="s">
        <v>5</v>
      </c>
      <c r="B1" t="s">
        <v>145</v>
      </c>
    </row>
    <row r="3" spans="1:2" x14ac:dyDescent="0.3">
      <c r="A3" s="8" t="s">
        <v>122</v>
      </c>
      <c r="B3" t="s">
        <v>134</v>
      </c>
    </row>
    <row r="4" spans="1:2" x14ac:dyDescent="0.3">
      <c r="A4" s="10" t="s">
        <v>81</v>
      </c>
      <c r="B4" s="17"/>
    </row>
    <row r="5" spans="1:2" x14ac:dyDescent="0.3">
      <c r="A5" s="10" t="s">
        <v>54</v>
      </c>
      <c r="B5" s="17"/>
    </row>
    <row r="6" spans="1:2" x14ac:dyDescent="0.3">
      <c r="A6" s="10" t="s">
        <v>55</v>
      </c>
      <c r="B6" s="17"/>
    </row>
    <row r="7" spans="1:2" x14ac:dyDescent="0.3">
      <c r="A7" s="10" t="s">
        <v>52</v>
      </c>
      <c r="B7" s="17"/>
    </row>
    <row r="8" spans="1:2" x14ac:dyDescent="0.3">
      <c r="A8" s="10" t="s">
        <v>63</v>
      </c>
      <c r="B8" s="17"/>
    </row>
    <row r="9" spans="1:2" x14ac:dyDescent="0.3">
      <c r="A9" s="10" t="s">
        <v>89</v>
      </c>
      <c r="B9" s="17"/>
    </row>
    <row r="10" spans="1:2" x14ac:dyDescent="0.3">
      <c r="A10" s="10" t="s">
        <v>98</v>
      </c>
      <c r="B10" s="17"/>
    </row>
    <row r="11" spans="1:2" x14ac:dyDescent="0.3">
      <c r="A11" s="10" t="s">
        <v>109</v>
      </c>
      <c r="B11" s="17"/>
    </row>
    <row r="12" spans="1:2" x14ac:dyDescent="0.3">
      <c r="A12" s="10" t="s">
        <v>106</v>
      </c>
      <c r="B12" s="17"/>
    </row>
    <row r="13" spans="1:2" x14ac:dyDescent="0.3">
      <c r="A13" s="10" t="s">
        <v>50</v>
      </c>
      <c r="B13" s="17"/>
    </row>
    <row r="14" spans="1:2" x14ac:dyDescent="0.3">
      <c r="A14" s="10" t="s">
        <v>53</v>
      </c>
      <c r="B14" s="17"/>
    </row>
    <row r="15" spans="1:2" x14ac:dyDescent="0.3">
      <c r="A15" s="10" t="s">
        <v>61</v>
      </c>
      <c r="B15" s="17"/>
    </row>
    <row r="16" spans="1:2" x14ac:dyDescent="0.3">
      <c r="A16" s="10" t="s">
        <v>80</v>
      </c>
      <c r="B16" s="17"/>
    </row>
    <row r="17" spans="1:2" x14ac:dyDescent="0.3">
      <c r="A17" s="10" t="s">
        <v>59</v>
      </c>
      <c r="B17" s="17"/>
    </row>
    <row r="18" spans="1:2" x14ac:dyDescent="0.3">
      <c r="A18" s="10" t="s">
        <v>46</v>
      </c>
      <c r="B18" s="17"/>
    </row>
    <row r="19" spans="1:2" x14ac:dyDescent="0.3">
      <c r="A19" s="10" t="s">
        <v>45</v>
      </c>
      <c r="B19" s="17"/>
    </row>
    <row r="20" spans="1:2" x14ac:dyDescent="0.3">
      <c r="A20" s="10" t="s">
        <v>85</v>
      </c>
      <c r="B20" s="17"/>
    </row>
    <row r="21" spans="1:2" x14ac:dyDescent="0.3">
      <c r="A21" s="10" t="s">
        <v>108</v>
      </c>
      <c r="B21" s="17"/>
    </row>
    <row r="22" spans="1:2" x14ac:dyDescent="0.3">
      <c r="A22" s="10" t="s">
        <v>96</v>
      </c>
      <c r="B22" s="17"/>
    </row>
    <row r="23" spans="1:2" x14ac:dyDescent="0.3">
      <c r="A23" s="10" t="s">
        <v>101</v>
      </c>
      <c r="B23" s="17"/>
    </row>
    <row r="24" spans="1:2" x14ac:dyDescent="0.3">
      <c r="A24" s="10" t="s">
        <v>82</v>
      </c>
      <c r="B24" s="17"/>
    </row>
    <row r="25" spans="1:2" x14ac:dyDescent="0.3">
      <c r="A25" s="10" t="s">
        <v>47</v>
      </c>
      <c r="B25" s="17"/>
    </row>
    <row r="26" spans="1:2" x14ac:dyDescent="0.3">
      <c r="A26" s="10" t="s">
        <v>105</v>
      </c>
      <c r="B26" s="17"/>
    </row>
    <row r="27" spans="1:2" x14ac:dyDescent="0.3">
      <c r="A27" s="10" t="s">
        <v>92</v>
      </c>
      <c r="B27" s="17"/>
    </row>
    <row r="28" spans="1:2" x14ac:dyDescent="0.3">
      <c r="A28" s="10" t="s">
        <v>102</v>
      </c>
      <c r="B28" s="17"/>
    </row>
    <row r="29" spans="1:2" x14ac:dyDescent="0.3">
      <c r="A29" s="10" t="s">
        <v>35</v>
      </c>
      <c r="B29" s="17"/>
    </row>
    <row r="30" spans="1:2" x14ac:dyDescent="0.3">
      <c r="A30" s="10" t="s">
        <v>114</v>
      </c>
      <c r="B30" s="17"/>
    </row>
    <row r="31" spans="1:2" x14ac:dyDescent="0.3">
      <c r="A31" s="10" t="s">
        <v>58</v>
      </c>
      <c r="B31" s="17"/>
    </row>
    <row r="32" spans="1:2" x14ac:dyDescent="0.3">
      <c r="A32" s="10" t="s">
        <v>107</v>
      </c>
      <c r="B32" s="17"/>
    </row>
    <row r="33" spans="1:2" x14ac:dyDescent="0.3">
      <c r="A33" s="10" t="s">
        <v>88</v>
      </c>
      <c r="B33" s="17"/>
    </row>
    <row r="34" spans="1:2" x14ac:dyDescent="0.3">
      <c r="A34" s="10" t="s">
        <v>97</v>
      </c>
      <c r="B34" s="17"/>
    </row>
    <row r="35" spans="1:2" x14ac:dyDescent="0.3">
      <c r="A35" s="10" t="s">
        <v>90</v>
      </c>
      <c r="B35" s="17"/>
    </row>
    <row r="36" spans="1:2" x14ac:dyDescent="0.3">
      <c r="A36" s="10" t="s">
        <v>100</v>
      </c>
      <c r="B36" s="17"/>
    </row>
    <row r="37" spans="1:2" x14ac:dyDescent="0.3">
      <c r="A37" s="10" t="s">
        <v>56</v>
      </c>
      <c r="B37" s="17"/>
    </row>
    <row r="38" spans="1:2" x14ac:dyDescent="0.3">
      <c r="A38" s="10" t="s">
        <v>112</v>
      </c>
      <c r="B38" s="17"/>
    </row>
    <row r="39" spans="1:2" x14ac:dyDescent="0.3">
      <c r="A39" s="10" t="s">
        <v>57</v>
      </c>
      <c r="B39" s="17"/>
    </row>
    <row r="40" spans="1:2" x14ac:dyDescent="0.3">
      <c r="A40" s="10" t="s">
        <v>103</v>
      </c>
      <c r="B40" s="17"/>
    </row>
    <row r="41" spans="1:2" x14ac:dyDescent="0.3">
      <c r="A41" s="10" t="s">
        <v>99</v>
      </c>
      <c r="B41" s="17"/>
    </row>
    <row r="42" spans="1:2" x14ac:dyDescent="0.3">
      <c r="A42" s="10" t="s">
        <v>48</v>
      </c>
      <c r="B42" s="17"/>
    </row>
    <row r="43" spans="1:2" x14ac:dyDescent="0.3">
      <c r="A43" s="10" t="s">
        <v>94</v>
      </c>
      <c r="B43" s="17"/>
    </row>
    <row r="44" spans="1:2" x14ac:dyDescent="0.3">
      <c r="A44" s="10" t="s">
        <v>86</v>
      </c>
      <c r="B44" s="17"/>
    </row>
    <row r="45" spans="1:2" x14ac:dyDescent="0.3">
      <c r="A45" s="10" t="s">
        <v>95</v>
      </c>
      <c r="B45" s="17"/>
    </row>
    <row r="46" spans="1:2" x14ac:dyDescent="0.3">
      <c r="A46" s="10" t="s">
        <v>27</v>
      </c>
      <c r="B46" s="17"/>
    </row>
    <row r="47" spans="1:2" x14ac:dyDescent="0.3">
      <c r="A47" s="10" t="s">
        <v>49</v>
      </c>
      <c r="B47" s="17"/>
    </row>
    <row r="48" spans="1:2" x14ac:dyDescent="0.3">
      <c r="A48" s="10" t="s">
        <v>62</v>
      </c>
      <c r="B48" s="17"/>
    </row>
    <row r="49" spans="1:2" x14ac:dyDescent="0.3">
      <c r="A49" s="10" t="s">
        <v>110</v>
      </c>
      <c r="B49" s="17"/>
    </row>
    <row r="50" spans="1:2" x14ac:dyDescent="0.3">
      <c r="A50" s="10" t="s">
        <v>79</v>
      </c>
      <c r="B50" s="17"/>
    </row>
    <row r="51" spans="1:2" x14ac:dyDescent="0.3">
      <c r="A51" s="10" t="s">
        <v>60</v>
      </c>
      <c r="B51" s="17"/>
    </row>
    <row r="52" spans="1:2" x14ac:dyDescent="0.3">
      <c r="A52" s="10" t="s">
        <v>91</v>
      </c>
      <c r="B52" s="17"/>
    </row>
    <row r="53" spans="1:2" x14ac:dyDescent="0.3">
      <c r="A53" s="10" t="s">
        <v>111</v>
      </c>
      <c r="B53" s="17"/>
    </row>
    <row r="54" spans="1:2" x14ac:dyDescent="0.3">
      <c r="A54" s="10" t="s">
        <v>51</v>
      </c>
      <c r="B54" s="17"/>
    </row>
    <row r="55" spans="1:2" x14ac:dyDescent="0.3">
      <c r="A55" s="10" t="s">
        <v>93</v>
      </c>
      <c r="B55" s="17"/>
    </row>
    <row r="56" spans="1:2" x14ac:dyDescent="0.3">
      <c r="A56" s="10" t="s">
        <v>113</v>
      </c>
      <c r="B56" s="17">
        <v>2</v>
      </c>
    </row>
    <row r="57" spans="1:2" x14ac:dyDescent="0.3">
      <c r="A57" s="10" t="s">
        <v>78</v>
      </c>
      <c r="B57" s="17">
        <v>2.1</v>
      </c>
    </row>
    <row r="58" spans="1:2" x14ac:dyDescent="0.3">
      <c r="A58" s="10" t="s">
        <v>66</v>
      </c>
      <c r="B58" s="17">
        <v>2.1</v>
      </c>
    </row>
    <row r="59" spans="1:2" x14ac:dyDescent="0.3">
      <c r="A59" s="10" t="s">
        <v>70</v>
      </c>
      <c r="B59" s="17">
        <v>2.2000000000000002</v>
      </c>
    </row>
    <row r="60" spans="1:2" x14ac:dyDescent="0.3">
      <c r="A60" s="10" t="s">
        <v>77</v>
      </c>
      <c r="B60" s="17">
        <v>2.2000000000000002</v>
      </c>
    </row>
    <row r="61" spans="1:2" x14ac:dyDescent="0.3">
      <c r="A61" s="10" t="s">
        <v>75</v>
      </c>
      <c r="B61" s="17">
        <v>2.2999999999999998</v>
      </c>
    </row>
    <row r="62" spans="1:2" x14ac:dyDescent="0.3">
      <c r="A62" s="10" t="s">
        <v>71</v>
      </c>
      <c r="B62" s="17">
        <v>2.2999999999999998</v>
      </c>
    </row>
    <row r="63" spans="1:2" x14ac:dyDescent="0.3">
      <c r="A63" s="10" t="s">
        <v>64</v>
      </c>
      <c r="B63" s="17">
        <v>2.5</v>
      </c>
    </row>
    <row r="64" spans="1:2" x14ac:dyDescent="0.3">
      <c r="A64" s="10" t="s">
        <v>73</v>
      </c>
      <c r="B64" s="17">
        <v>2.6</v>
      </c>
    </row>
    <row r="65" spans="1:2" x14ac:dyDescent="0.3">
      <c r="A65" s="10" t="s">
        <v>68</v>
      </c>
      <c r="B65" s="17">
        <v>2.7</v>
      </c>
    </row>
    <row r="66" spans="1:2" x14ac:dyDescent="0.3">
      <c r="A66" s="10" t="s">
        <v>67</v>
      </c>
      <c r="B66" s="17">
        <v>2.8</v>
      </c>
    </row>
    <row r="67" spans="1:2" x14ac:dyDescent="0.3">
      <c r="A67" s="10" t="s">
        <v>69</v>
      </c>
      <c r="B67" s="17">
        <v>2.9</v>
      </c>
    </row>
    <row r="68" spans="1:2" x14ac:dyDescent="0.3">
      <c r="A68" s="10" t="s">
        <v>76</v>
      </c>
      <c r="B68" s="17">
        <v>3</v>
      </c>
    </row>
    <row r="69" spans="1:2" x14ac:dyDescent="0.3">
      <c r="A69" s="10" t="s">
        <v>65</v>
      </c>
      <c r="B69" s="17">
        <v>3</v>
      </c>
    </row>
    <row r="70" spans="1:2" x14ac:dyDescent="0.3">
      <c r="A70" s="10" t="s">
        <v>83</v>
      </c>
      <c r="B70" s="17">
        <v>3</v>
      </c>
    </row>
    <row r="71" spans="1:2" x14ac:dyDescent="0.3">
      <c r="A71" s="10" t="s">
        <v>72</v>
      </c>
      <c r="B71" s="17">
        <v>3</v>
      </c>
    </row>
    <row r="72" spans="1:2" x14ac:dyDescent="0.3">
      <c r="A72" s="10" t="s">
        <v>74</v>
      </c>
      <c r="B72" s="17">
        <v>3</v>
      </c>
    </row>
    <row r="73" spans="1:2" x14ac:dyDescent="0.3">
      <c r="A73" s="10" t="s">
        <v>26</v>
      </c>
      <c r="B73" s="17">
        <v>3.3</v>
      </c>
    </row>
    <row r="74" spans="1:2" x14ac:dyDescent="0.3">
      <c r="A74" s="10" t="s">
        <v>32</v>
      </c>
      <c r="B74" s="17">
        <v>3.8</v>
      </c>
    </row>
    <row r="75" spans="1:2" x14ac:dyDescent="0.3">
      <c r="A75" s="10" t="s">
        <v>15</v>
      </c>
      <c r="B75" s="17">
        <v>3.8</v>
      </c>
    </row>
    <row r="76" spans="1:2" x14ac:dyDescent="0.3">
      <c r="A76" s="10" t="s">
        <v>33</v>
      </c>
      <c r="B76" s="17">
        <v>3.8</v>
      </c>
    </row>
    <row r="77" spans="1:2" x14ac:dyDescent="0.3">
      <c r="A77" s="10" t="s">
        <v>11</v>
      </c>
      <c r="B77" s="17">
        <v>4</v>
      </c>
    </row>
    <row r="78" spans="1:2" x14ac:dyDescent="0.3">
      <c r="A78" s="10" t="s">
        <v>28</v>
      </c>
      <c r="B78" s="17">
        <v>4</v>
      </c>
    </row>
    <row r="79" spans="1:2" x14ac:dyDescent="0.3">
      <c r="A79" s="10" t="s">
        <v>87</v>
      </c>
      <c r="B79" s="17">
        <v>4</v>
      </c>
    </row>
    <row r="80" spans="1:2" x14ac:dyDescent="0.3">
      <c r="A80" s="10" t="s">
        <v>13</v>
      </c>
      <c r="B80" s="17">
        <v>4</v>
      </c>
    </row>
    <row r="81" spans="1:2" x14ac:dyDescent="0.3">
      <c r="A81" s="10" t="s">
        <v>34</v>
      </c>
      <c r="B81" s="17">
        <v>4.0999999999999996</v>
      </c>
    </row>
    <row r="82" spans="1:2" x14ac:dyDescent="0.3">
      <c r="A82" s="10" t="s">
        <v>7</v>
      </c>
      <c r="B82" s="17">
        <v>4.0999999999999996</v>
      </c>
    </row>
    <row r="83" spans="1:2" x14ac:dyDescent="0.3">
      <c r="A83" s="10" t="s">
        <v>16</v>
      </c>
      <c r="B83" s="17">
        <v>4.0999999999999996</v>
      </c>
    </row>
    <row r="84" spans="1:2" x14ac:dyDescent="0.3">
      <c r="A84" s="10" t="s">
        <v>20</v>
      </c>
      <c r="B84" s="17">
        <v>4.2</v>
      </c>
    </row>
    <row r="85" spans="1:2" x14ac:dyDescent="0.3">
      <c r="A85" s="10" t="s">
        <v>43</v>
      </c>
      <c r="B85" s="17">
        <v>4.3</v>
      </c>
    </row>
    <row r="86" spans="1:2" x14ac:dyDescent="0.3">
      <c r="A86" s="10" t="s">
        <v>30</v>
      </c>
      <c r="B86" s="17">
        <v>4.3</v>
      </c>
    </row>
    <row r="87" spans="1:2" x14ac:dyDescent="0.3">
      <c r="A87" s="10" t="s">
        <v>38</v>
      </c>
      <c r="B87" s="17">
        <v>4.3</v>
      </c>
    </row>
    <row r="88" spans="1:2" x14ac:dyDescent="0.3">
      <c r="A88" s="10" t="s">
        <v>36</v>
      </c>
      <c r="B88" s="17">
        <v>4.3</v>
      </c>
    </row>
    <row r="89" spans="1:2" x14ac:dyDescent="0.3">
      <c r="A89" s="10" t="s">
        <v>29</v>
      </c>
      <c r="B89" s="17">
        <v>4.4000000000000004</v>
      </c>
    </row>
    <row r="90" spans="1:2" x14ac:dyDescent="0.3">
      <c r="A90" s="10" t="s">
        <v>44</v>
      </c>
      <c r="B90" s="17">
        <v>4.5</v>
      </c>
    </row>
    <row r="91" spans="1:2" x14ac:dyDescent="0.3">
      <c r="A91" s="10" t="s">
        <v>19</v>
      </c>
      <c r="B91" s="17">
        <v>4.5</v>
      </c>
    </row>
    <row r="92" spans="1:2" x14ac:dyDescent="0.3">
      <c r="A92" s="10" t="s">
        <v>40</v>
      </c>
      <c r="B92" s="17">
        <v>4.5</v>
      </c>
    </row>
    <row r="93" spans="1:2" x14ac:dyDescent="0.3">
      <c r="A93" s="10" t="s">
        <v>6</v>
      </c>
      <c r="B93" s="17">
        <v>4.5</v>
      </c>
    </row>
    <row r="94" spans="1:2" x14ac:dyDescent="0.3">
      <c r="A94" s="10" t="s">
        <v>25</v>
      </c>
      <c r="B94" s="17">
        <v>4.5999999999999996</v>
      </c>
    </row>
    <row r="95" spans="1:2" x14ac:dyDescent="0.3">
      <c r="A95" s="10" t="s">
        <v>24</v>
      </c>
      <c r="B95" s="17">
        <v>4.5999999999999996</v>
      </c>
    </row>
    <row r="96" spans="1:2" x14ac:dyDescent="0.3">
      <c r="A96" s="10" t="s">
        <v>31</v>
      </c>
      <c r="B96" s="17">
        <v>4.5999999999999996</v>
      </c>
    </row>
    <row r="97" spans="1:2" x14ac:dyDescent="0.3">
      <c r="A97" s="10" t="s">
        <v>12</v>
      </c>
      <c r="B97" s="17">
        <v>4.5999999999999996</v>
      </c>
    </row>
    <row r="98" spans="1:2" x14ac:dyDescent="0.3">
      <c r="A98" s="10" t="s">
        <v>8</v>
      </c>
      <c r="B98" s="17">
        <v>4.5999999999999996</v>
      </c>
    </row>
    <row r="99" spans="1:2" x14ac:dyDescent="0.3">
      <c r="A99" s="10" t="s">
        <v>37</v>
      </c>
      <c r="B99" s="17">
        <v>4.7</v>
      </c>
    </row>
    <row r="100" spans="1:2" x14ac:dyDescent="0.3">
      <c r="A100" s="10" t="s">
        <v>9</v>
      </c>
      <c r="B100" s="17">
        <v>4.7</v>
      </c>
    </row>
    <row r="101" spans="1:2" x14ac:dyDescent="0.3">
      <c r="A101" s="10" t="s">
        <v>39</v>
      </c>
      <c r="B101" s="17">
        <v>4.7</v>
      </c>
    </row>
    <row r="102" spans="1:2" x14ac:dyDescent="0.3">
      <c r="A102" s="10" t="s">
        <v>17</v>
      </c>
      <c r="B102" s="17">
        <v>4.7</v>
      </c>
    </row>
    <row r="103" spans="1:2" x14ac:dyDescent="0.3">
      <c r="A103" s="10" t="s">
        <v>14</v>
      </c>
      <c r="B103" s="17">
        <v>4.8</v>
      </c>
    </row>
    <row r="104" spans="1:2" x14ac:dyDescent="0.3">
      <c r="A104" s="10" t="s">
        <v>10</v>
      </c>
      <c r="B104" s="17">
        <v>4.8</v>
      </c>
    </row>
    <row r="105" spans="1:2" x14ac:dyDescent="0.3">
      <c r="A105" s="10" t="s">
        <v>18</v>
      </c>
      <c r="B105" s="17">
        <v>4.8</v>
      </c>
    </row>
    <row r="106" spans="1:2" x14ac:dyDescent="0.3">
      <c r="A106" s="10" t="s">
        <v>41</v>
      </c>
      <c r="B106" s="17">
        <v>5</v>
      </c>
    </row>
    <row r="107" spans="1:2" x14ac:dyDescent="0.3">
      <c r="A107" s="10" t="s">
        <v>42</v>
      </c>
      <c r="B107" s="17">
        <v>5</v>
      </c>
    </row>
    <row r="108" spans="1:2" x14ac:dyDescent="0.3">
      <c r="A108" s="10" t="s">
        <v>21</v>
      </c>
      <c r="B108" s="17">
        <v>5</v>
      </c>
    </row>
    <row r="109" spans="1:2" x14ac:dyDescent="0.3">
      <c r="A109" s="10" t="s">
        <v>104</v>
      </c>
      <c r="B109" s="17">
        <v>5</v>
      </c>
    </row>
    <row r="110" spans="1:2" x14ac:dyDescent="0.3">
      <c r="A110" s="10" t="s">
        <v>22</v>
      </c>
      <c r="B110" s="17">
        <v>5</v>
      </c>
    </row>
    <row r="111" spans="1:2" x14ac:dyDescent="0.3">
      <c r="A111" s="10" t="s">
        <v>84</v>
      </c>
      <c r="B111" s="17">
        <v>5</v>
      </c>
    </row>
    <row r="112" spans="1:2" x14ac:dyDescent="0.3">
      <c r="A112" s="10" t="s">
        <v>23</v>
      </c>
      <c r="B112" s="17">
        <v>5</v>
      </c>
    </row>
    <row r="113" spans="1:2" x14ac:dyDescent="0.3">
      <c r="A113" s="10" t="s">
        <v>123</v>
      </c>
      <c r="B113" s="17">
        <v>221.70000000000002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735CA-715F-4C6C-B7C3-796E6AC63278}">
  <dimension ref="A3:C8"/>
  <sheetViews>
    <sheetView workbookViewId="0">
      <selection activeCell="C5" sqref="C5"/>
    </sheetView>
  </sheetViews>
  <sheetFormatPr defaultRowHeight="14.4" x14ac:dyDescent="0.3"/>
  <cols>
    <col min="1" max="1" width="15" bestFit="1" customWidth="1"/>
    <col min="2" max="2" width="16.21875" bestFit="1" customWidth="1"/>
    <col min="3" max="3" width="15.77734375" bestFit="1" customWidth="1"/>
  </cols>
  <sheetData>
    <row r="3" spans="1:3" x14ac:dyDescent="0.3">
      <c r="A3" s="8" t="s">
        <v>122</v>
      </c>
      <c r="B3" t="s">
        <v>138</v>
      </c>
      <c r="C3" t="s">
        <v>139</v>
      </c>
    </row>
    <row r="4" spans="1:3" x14ac:dyDescent="0.3">
      <c r="A4" s="10" t="s">
        <v>135</v>
      </c>
      <c r="B4" s="17">
        <v>3.5766666666666658</v>
      </c>
      <c r="C4" s="17">
        <v>13.533333333333333</v>
      </c>
    </row>
    <row r="5" spans="1:3" x14ac:dyDescent="0.3">
      <c r="A5" s="10" t="s">
        <v>136</v>
      </c>
      <c r="B5" s="17">
        <v>3.8599999999999994</v>
      </c>
      <c r="C5" s="17">
        <v>14.4</v>
      </c>
    </row>
    <row r="6" spans="1:3" x14ac:dyDescent="0.3">
      <c r="A6" s="10" t="s">
        <v>137</v>
      </c>
      <c r="B6" s="17">
        <v>4.3142857142857149</v>
      </c>
      <c r="C6" s="17">
        <v>11.571428571428571</v>
      </c>
    </row>
    <row r="7" spans="1:3" x14ac:dyDescent="0.3">
      <c r="A7" s="10" t="s">
        <v>124</v>
      </c>
      <c r="B7" s="17">
        <v>4.5</v>
      </c>
      <c r="C7" s="17">
        <v>2</v>
      </c>
    </row>
    <row r="8" spans="1:3" x14ac:dyDescent="0.3">
      <c r="A8" s="10" t="s">
        <v>123</v>
      </c>
      <c r="B8" s="17">
        <v>3.8894736842105253</v>
      </c>
      <c r="C8" s="17">
        <v>12.684210526315789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69478-B23B-4CD8-8D03-5799EB4B6B11}">
  <dimension ref="A3:D14"/>
  <sheetViews>
    <sheetView workbookViewId="0">
      <selection activeCell="AB7" sqref="AB7"/>
    </sheetView>
  </sheetViews>
  <sheetFormatPr defaultRowHeight="14.4" x14ac:dyDescent="0.3"/>
  <cols>
    <col min="1" max="1" width="59.44140625" bestFit="1" customWidth="1"/>
    <col min="2" max="2" width="12.88671875" bestFit="1" customWidth="1"/>
    <col min="3" max="3" width="13.44140625" bestFit="1" customWidth="1"/>
    <col min="4" max="4" width="14.44140625" bestFit="1" customWidth="1"/>
    <col min="5" max="8" width="2" bestFit="1" customWidth="1"/>
    <col min="9" max="24" width="3" bestFit="1" customWidth="1"/>
    <col min="25" max="25" width="7" bestFit="1" customWidth="1"/>
    <col min="26" max="26" width="10.5546875" bestFit="1" customWidth="1"/>
  </cols>
  <sheetData>
    <row r="3" spans="1:4" x14ac:dyDescent="0.3">
      <c r="A3" s="8" t="s">
        <v>122</v>
      </c>
      <c r="B3" t="s">
        <v>125</v>
      </c>
      <c r="C3" t="s">
        <v>134</v>
      </c>
      <c r="D3" t="s">
        <v>140</v>
      </c>
    </row>
    <row r="4" spans="1:4" x14ac:dyDescent="0.3">
      <c r="A4" s="10" t="s">
        <v>17</v>
      </c>
      <c r="B4">
        <v>39</v>
      </c>
      <c r="C4">
        <v>4.7</v>
      </c>
      <c r="D4" s="1">
        <v>0.34</v>
      </c>
    </row>
    <row r="5" spans="1:4" x14ac:dyDescent="0.3">
      <c r="A5" s="10" t="s">
        <v>67</v>
      </c>
      <c r="B5">
        <v>69</v>
      </c>
      <c r="C5">
        <v>2.8</v>
      </c>
      <c r="D5" s="1">
        <v>0.49</v>
      </c>
    </row>
    <row r="6" spans="1:4" x14ac:dyDescent="0.3">
      <c r="A6" s="10" t="s">
        <v>12</v>
      </c>
      <c r="B6">
        <v>55</v>
      </c>
      <c r="C6">
        <v>4.5999999999999996</v>
      </c>
      <c r="D6" s="1">
        <v>0.24</v>
      </c>
    </row>
    <row r="7" spans="1:4" x14ac:dyDescent="0.3">
      <c r="A7" s="10" t="s">
        <v>25</v>
      </c>
      <c r="B7">
        <v>44</v>
      </c>
      <c r="C7">
        <v>4.5999999999999996</v>
      </c>
      <c r="D7" s="1">
        <v>0.49</v>
      </c>
    </row>
    <row r="8" spans="1:4" x14ac:dyDescent="0.3">
      <c r="A8" s="10" t="s">
        <v>34</v>
      </c>
      <c r="B8">
        <v>20</v>
      </c>
      <c r="C8">
        <v>4.0999999999999996</v>
      </c>
      <c r="D8" s="1">
        <v>0.3</v>
      </c>
    </row>
    <row r="9" spans="1:4" x14ac:dyDescent="0.3">
      <c r="A9" s="10" t="s">
        <v>40</v>
      </c>
      <c r="B9">
        <v>32</v>
      </c>
      <c r="C9">
        <v>4.5</v>
      </c>
      <c r="D9" s="1">
        <v>0.27</v>
      </c>
    </row>
    <row r="10" spans="1:4" x14ac:dyDescent="0.3">
      <c r="A10" s="10" t="s">
        <v>39</v>
      </c>
      <c r="B10">
        <v>20</v>
      </c>
      <c r="C10">
        <v>4.7</v>
      </c>
      <c r="D10" s="1">
        <v>0.27</v>
      </c>
    </row>
    <row r="11" spans="1:4" x14ac:dyDescent="0.3">
      <c r="A11" s="10" t="s">
        <v>31</v>
      </c>
      <c r="B11">
        <v>49</v>
      </c>
      <c r="C11">
        <v>4.5999999999999996</v>
      </c>
      <c r="D11" s="1">
        <v>0.35</v>
      </c>
    </row>
    <row r="12" spans="1:4" x14ac:dyDescent="0.3">
      <c r="A12" s="10" t="s">
        <v>8</v>
      </c>
      <c r="B12">
        <v>24</v>
      </c>
      <c r="C12">
        <v>4.5999999999999996</v>
      </c>
      <c r="D12" s="1">
        <v>0.25</v>
      </c>
    </row>
    <row r="13" spans="1:4" x14ac:dyDescent="0.3">
      <c r="A13" s="10" t="s">
        <v>43</v>
      </c>
      <c r="B13">
        <v>36</v>
      </c>
      <c r="C13">
        <v>4.3</v>
      </c>
      <c r="D13" s="1">
        <v>0.41</v>
      </c>
    </row>
    <row r="14" spans="1:4" x14ac:dyDescent="0.3">
      <c r="A14" s="10" t="s">
        <v>123</v>
      </c>
      <c r="B14">
        <v>388</v>
      </c>
      <c r="C14">
        <v>43.499999999999993</v>
      </c>
      <c r="D14" s="1">
        <v>3.41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9DF23-7EC6-41D0-835B-F2CF2881D2C9}">
  <dimension ref="A3:B14"/>
  <sheetViews>
    <sheetView workbookViewId="0">
      <selection activeCell="A3" sqref="A3"/>
    </sheetView>
  </sheetViews>
  <sheetFormatPr defaultRowHeight="14.4" x14ac:dyDescent="0.3"/>
  <cols>
    <col min="1" max="1" width="62.77734375" bestFit="1" customWidth="1"/>
    <col min="2" max="2" width="13.44140625" bestFit="1" customWidth="1"/>
  </cols>
  <sheetData>
    <row r="3" spans="1:2" x14ac:dyDescent="0.3">
      <c r="A3" s="8" t="s">
        <v>122</v>
      </c>
      <c r="B3" t="s">
        <v>134</v>
      </c>
    </row>
    <row r="4" spans="1:2" x14ac:dyDescent="0.3">
      <c r="A4" s="10" t="s">
        <v>18</v>
      </c>
      <c r="B4">
        <v>4.8</v>
      </c>
    </row>
    <row r="5" spans="1:2" x14ac:dyDescent="0.3">
      <c r="A5" s="10" t="s">
        <v>21</v>
      </c>
      <c r="B5">
        <v>5</v>
      </c>
    </row>
    <row r="6" spans="1:2" x14ac:dyDescent="0.3">
      <c r="A6" s="10" t="s">
        <v>84</v>
      </c>
      <c r="B6">
        <v>5</v>
      </c>
    </row>
    <row r="7" spans="1:2" x14ac:dyDescent="0.3">
      <c r="A7" s="10" t="s">
        <v>42</v>
      </c>
      <c r="B7">
        <v>5</v>
      </c>
    </row>
    <row r="8" spans="1:2" x14ac:dyDescent="0.3">
      <c r="A8" s="10" t="s">
        <v>41</v>
      </c>
      <c r="B8">
        <v>5</v>
      </c>
    </row>
    <row r="9" spans="1:2" x14ac:dyDescent="0.3">
      <c r="A9" s="10" t="s">
        <v>104</v>
      </c>
      <c r="B9">
        <v>5</v>
      </c>
    </row>
    <row r="10" spans="1:2" x14ac:dyDescent="0.3">
      <c r="A10" s="10" t="s">
        <v>23</v>
      </c>
      <c r="B10">
        <v>5</v>
      </c>
    </row>
    <row r="11" spans="1:2" x14ac:dyDescent="0.3">
      <c r="A11" s="10" t="s">
        <v>14</v>
      </c>
      <c r="B11">
        <v>4.8</v>
      </c>
    </row>
    <row r="12" spans="1:2" x14ac:dyDescent="0.3">
      <c r="A12" s="10" t="s">
        <v>22</v>
      </c>
      <c r="B12">
        <v>5</v>
      </c>
    </row>
    <row r="13" spans="1:2" x14ac:dyDescent="0.3">
      <c r="A13" s="10" t="s">
        <v>10</v>
      </c>
      <c r="B13">
        <v>4.8</v>
      </c>
    </row>
    <row r="14" spans="1:2" x14ac:dyDescent="0.3">
      <c r="A14" s="10" t="s">
        <v>123</v>
      </c>
      <c r="B14">
        <v>49.399999999999991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E97D-3CF0-43B7-907F-6AA65AFAA027}">
  <dimension ref="A3:E8"/>
  <sheetViews>
    <sheetView workbookViewId="0">
      <selection activeCell="AG1" sqref="AG1"/>
    </sheetView>
  </sheetViews>
  <sheetFormatPr defaultRowHeight="14.4" x14ac:dyDescent="0.3"/>
  <cols>
    <col min="1" max="1" width="14.77734375" bestFit="1" customWidth="1"/>
    <col min="2" max="2" width="15.5546875" bestFit="1" customWidth="1"/>
    <col min="3" max="3" width="10.88671875" bestFit="1" customWidth="1"/>
    <col min="4" max="4" width="15.5546875" bestFit="1" customWidth="1"/>
    <col min="5" max="5" width="10.5546875" bestFit="1" customWidth="1"/>
    <col min="6" max="8" width="8.77734375" bestFit="1" customWidth="1"/>
    <col min="9" max="9" width="10.5546875" bestFit="1" customWidth="1"/>
    <col min="10" max="48" width="4.5546875" bestFit="1" customWidth="1"/>
    <col min="49" max="49" width="10.5546875" bestFit="1" customWidth="1"/>
  </cols>
  <sheetData>
    <row r="3" spans="1:5" x14ac:dyDescent="0.3">
      <c r="A3" s="8" t="s">
        <v>144</v>
      </c>
      <c r="B3" s="8" t="s">
        <v>133</v>
      </c>
    </row>
    <row r="4" spans="1:5" x14ac:dyDescent="0.3">
      <c r="A4" s="8" t="s">
        <v>122</v>
      </c>
      <c r="B4" t="s">
        <v>135</v>
      </c>
      <c r="C4" t="s">
        <v>136</v>
      </c>
      <c r="D4" t="s">
        <v>137</v>
      </c>
      <c r="E4" t="s">
        <v>123</v>
      </c>
    </row>
    <row r="5" spans="1:5" x14ac:dyDescent="0.3">
      <c r="A5" s="10" t="s">
        <v>141</v>
      </c>
      <c r="B5">
        <v>5</v>
      </c>
      <c r="C5">
        <v>1</v>
      </c>
      <c r="D5">
        <v>3</v>
      </c>
      <c r="E5">
        <v>9</v>
      </c>
    </row>
    <row r="6" spans="1:5" x14ac:dyDescent="0.3">
      <c r="A6" s="10" t="s">
        <v>142</v>
      </c>
      <c r="B6">
        <v>16</v>
      </c>
      <c r="C6">
        <v>3</v>
      </c>
      <c r="D6">
        <v>18</v>
      </c>
      <c r="E6">
        <v>37</v>
      </c>
    </row>
    <row r="7" spans="1:5" x14ac:dyDescent="0.3">
      <c r="A7" s="10" t="s">
        <v>143</v>
      </c>
      <c r="B7">
        <v>10</v>
      </c>
      <c r="C7">
        <v>1</v>
      </c>
      <c r="D7">
        <v>1</v>
      </c>
      <c r="E7">
        <v>12</v>
      </c>
    </row>
    <row r="8" spans="1:5" x14ac:dyDescent="0.3">
      <c r="A8" s="10" t="s">
        <v>123</v>
      </c>
      <c r="B8">
        <v>31</v>
      </c>
      <c r="C8">
        <v>5</v>
      </c>
      <c r="D8">
        <v>22</v>
      </c>
      <c r="E8">
        <v>58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EB7EF-A514-49E4-B7D7-0F9B3C1913D3}">
  <dimension ref="A1:M114"/>
  <sheetViews>
    <sheetView topLeftCell="I17" zoomScale="115" zoomScaleNormal="115" workbookViewId="0">
      <selection activeCell="L31" sqref="L31"/>
    </sheetView>
  </sheetViews>
  <sheetFormatPr defaultRowHeight="14.4" x14ac:dyDescent="0.3"/>
  <cols>
    <col min="1" max="1" width="87.109375" bestFit="1" customWidth="1"/>
    <col min="2" max="2" width="14.77734375" style="3" bestFit="1" customWidth="1"/>
    <col min="3" max="3" width="10.109375" style="3" bestFit="1" customWidth="1"/>
    <col min="4" max="4" width="10.5546875" bestFit="1" customWidth="1"/>
    <col min="5" max="5" width="8.44140625" bestFit="1" customWidth="1"/>
    <col min="6" max="6" width="7.33203125" bestFit="1" customWidth="1"/>
    <col min="7" max="7" width="20.21875" bestFit="1" customWidth="1"/>
    <col min="8" max="8" width="17.109375" bestFit="1" customWidth="1"/>
    <col min="9" max="9" width="19.77734375" bestFit="1" customWidth="1"/>
    <col min="10" max="10" width="26.44140625" bestFit="1" customWidth="1"/>
    <col min="11" max="11" width="47.6640625" bestFit="1" customWidth="1"/>
    <col min="12" max="13" width="63.77734375" bestFit="1" customWidth="1"/>
  </cols>
  <sheetData>
    <row r="1" spans="1:12" s="2" customFormat="1" ht="18" x14ac:dyDescent="0.35">
      <c r="A1" s="2" t="s">
        <v>0</v>
      </c>
      <c r="B1" s="2" t="s">
        <v>1</v>
      </c>
      <c r="C1" s="2" t="s">
        <v>2</v>
      </c>
      <c r="D1" s="2" t="s">
        <v>3</v>
      </c>
      <c r="E1" s="2" t="s">
        <v>4</v>
      </c>
      <c r="F1" s="12" t="s">
        <v>5</v>
      </c>
      <c r="G1" s="2" t="s">
        <v>115</v>
      </c>
      <c r="H1" s="2" t="s">
        <v>116</v>
      </c>
      <c r="I1" s="2" t="s">
        <v>117</v>
      </c>
    </row>
    <row r="2" spans="1:12" x14ac:dyDescent="0.3">
      <c r="A2" t="s">
        <v>112</v>
      </c>
      <c r="B2" s="3">
        <v>199</v>
      </c>
      <c r="C2" s="3">
        <v>553</v>
      </c>
      <c r="D2" s="1">
        <v>0.64</v>
      </c>
      <c r="G2" s="3">
        <f t="shared" ref="G2:G33" si="0">(C2-B2)</f>
        <v>354</v>
      </c>
      <c r="H2" t="str" cm="1">
        <f t="array" ref="H2">IF(F1="","",_xlfn.IFS(F1&lt;3,"Poor",F1&lt;4,"Average",F1&gt;=4,"Excellent"))</f>
        <v>Excellent</v>
      </c>
      <c r="I2" s="4" t="str" cm="1">
        <f t="array" ref="I2">_xlfn.IFS(D1&lt;=20%,"Low Disount",D1&lt;=40%,"Medium Discount",D1&gt;40%,"High Discount")</f>
        <v>High Discount</v>
      </c>
    </row>
    <row r="3" spans="1:12" x14ac:dyDescent="0.3">
      <c r="A3" t="s">
        <v>54</v>
      </c>
      <c r="B3" s="3">
        <v>199</v>
      </c>
      <c r="C3" s="3">
        <v>504</v>
      </c>
      <c r="D3" s="1">
        <v>0.61</v>
      </c>
      <c r="G3" s="3">
        <f t="shared" si="0"/>
        <v>305</v>
      </c>
      <c r="H3" t="str" cm="1">
        <f t="array" ref="H3">IF(F2="","",_xlfn.IFS(F2&lt;3,"Poor",F2&lt;4,"Average",F2&gt;=4,"Excellent"))</f>
        <v/>
      </c>
      <c r="I3" s="4" t="str" cm="1">
        <f t="array" ref="I3">_xlfn.IFS(D2&lt;=20%,"Low Disount",D2&lt;=40%,"Medium Discount",D2&gt;40%,"High Discount")</f>
        <v>High Discount</v>
      </c>
    </row>
    <row r="4" spans="1:12" x14ac:dyDescent="0.3">
      <c r="A4" t="s">
        <v>66</v>
      </c>
      <c r="B4" s="3">
        <v>2115</v>
      </c>
      <c r="C4" s="3">
        <v>4700</v>
      </c>
      <c r="D4" s="1">
        <v>0.55000000000000004</v>
      </c>
      <c r="E4">
        <v>13</v>
      </c>
      <c r="F4">
        <v>2.1</v>
      </c>
      <c r="G4" s="3">
        <f t="shared" si="0"/>
        <v>2585</v>
      </c>
      <c r="H4" t="str" cm="1">
        <f t="array" ref="H4">IF(F3="","",_xlfn.IFS(F3&lt;3,"Poor",F3&lt;4,"Average",F3&gt;=4,"Excellent"))</f>
        <v/>
      </c>
      <c r="I4" s="4" t="str" cm="1">
        <f t="array" ref="I4">_xlfn.IFS(D3&lt;=20%,"Low Disount",D3&lt;=40%,"Medium Discount",D3&gt;40%,"High Discount")</f>
        <v>High Discount</v>
      </c>
    </row>
    <row r="5" spans="1:12" x14ac:dyDescent="0.3">
      <c r="A5" t="s">
        <v>14</v>
      </c>
      <c r="B5" s="3">
        <v>1274</v>
      </c>
      <c r="C5" s="3">
        <v>2800</v>
      </c>
      <c r="D5" s="1">
        <v>0.55000000000000004</v>
      </c>
      <c r="E5">
        <v>5</v>
      </c>
      <c r="F5">
        <v>4.8</v>
      </c>
      <c r="G5" s="3">
        <f t="shared" si="0"/>
        <v>1526</v>
      </c>
      <c r="H5" t="str" cm="1">
        <f t="array" ref="H5">IF(F4="","",_xlfn.IFS(F4&lt;3,"Poor",F4&lt;4,"Average",F4&gt;=4,"Excellent"))</f>
        <v>Poor</v>
      </c>
      <c r="I5" s="4" t="str" cm="1">
        <f t="array" ref="I5">_xlfn.IFS(D4&lt;=20%,"Low Disount",D4&lt;=40%,"Medium Discount",D4&gt;40%,"High Discount")</f>
        <v>High Discount</v>
      </c>
    </row>
    <row r="6" spans="1:12" x14ac:dyDescent="0.3">
      <c r="A6" t="s">
        <v>60</v>
      </c>
      <c r="B6" s="3">
        <v>399</v>
      </c>
      <c r="C6" s="3">
        <v>896</v>
      </c>
      <c r="D6" s="1">
        <v>0.55000000000000004</v>
      </c>
      <c r="G6" s="3">
        <f t="shared" si="0"/>
        <v>497</v>
      </c>
      <c r="H6" t="str" cm="1">
        <f t="array" ref="H6">IF(F5="","",_xlfn.IFS(F5&lt;3,"Poor",F5&lt;4,"Average",F5&gt;=4,"Excellent"))</f>
        <v>Excellent</v>
      </c>
      <c r="I6" s="4" t="str" cm="1">
        <f t="array" ref="I6">_xlfn.IFS(D5&lt;=20%,"Low Disount",D5&lt;=40%,"Medium Discount",D5&gt;40%,"High Discount")</f>
        <v>High Discount</v>
      </c>
    </row>
    <row r="7" spans="1:12" x14ac:dyDescent="0.3">
      <c r="A7" t="s">
        <v>65</v>
      </c>
      <c r="B7" s="3">
        <v>458</v>
      </c>
      <c r="C7" s="3">
        <v>986</v>
      </c>
      <c r="D7" s="1">
        <v>0.54</v>
      </c>
      <c r="E7">
        <v>10</v>
      </c>
      <c r="F7">
        <v>3</v>
      </c>
      <c r="G7" s="3">
        <f t="shared" si="0"/>
        <v>528</v>
      </c>
      <c r="H7" t="str" cm="1">
        <f t="array" ref="H7">IF(F6="","",_xlfn.IFS(F6&lt;3,"Poor",F6&lt;4,"Average",F6&gt;=4,"Excellent"))</f>
        <v/>
      </c>
      <c r="I7" s="4" t="str" cm="1">
        <f t="array" ref="I7">_xlfn.IFS(D6&lt;=20%,"Low Disount",D6&lt;=40%,"Medium Discount",D6&gt;40%,"High Discount")</f>
        <v>High Discount</v>
      </c>
    </row>
    <row r="8" spans="1:12" x14ac:dyDescent="0.3">
      <c r="A8" t="s">
        <v>30</v>
      </c>
      <c r="B8" s="3">
        <v>2048</v>
      </c>
      <c r="C8" s="3">
        <v>4500</v>
      </c>
      <c r="D8" s="1">
        <v>0.54</v>
      </c>
      <c r="E8">
        <v>7</v>
      </c>
      <c r="F8">
        <v>4.3</v>
      </c>
      <c r="G8" s="3">
        <f t="shared" si="0"/>
        <v>2452</v>
      </c>
      <c r="H8" t="str" cm="1">
        <f t="array" ref="H8">IF(F7="","",_xlfn.IFS(F7&lt;3,"Poor",F7&lt;4,"Average",F7&gt;=4,"Excellent"))</f>
        <v>Average</v>
      </c>
      <c r="I8" s="4" t="str" cm="1">
        <f t="array" ref="I8">_xlfn.IFS(D7&lt;=20%,"Low Disount",D7&lt;=40%,"Medium Discount",D7&gt;40%,"High Discount")</f>
        <v>High Discount</v>
      </c>
      <c r="K8" s="14"/>
      <c r="L8" s="14"/>
    </row>
    <row r="9" spans="1:12" x14ac:dyDescent="0.3">
      <c r="A9" t="s">
        <v>26</v>
      </c>
      <c r="B9" s="3">
        <v>38</v>
      </c>
      <c r="C9" s="3">
        <v>80</v>
      </c>
      <c r="D9" s="1">
        <v>0.53</v>
      </c>
      <c r="E9">
        <v>13</v>
      </c>
      <c r="F9">
        <v>3.3</v>
      </c>
      <c r="G9" s="3">
        <f t="shared" si="0"/>
        <v>42</v>
      </c>
      <c r="H9" t="str" cm="1">
        <f t="array" ref="H9">IF(F8="","",_xlfn.IFS(F8&lt;3,"Poor",F8&lt;4,"Average",F8&gt;=4,"Excellent"))</f>
        <v>Excellent</v>
      </c>
      <c r="I9" s="4" t="str" cm="1">
        <f t="array" ref="I9">_xlfn.IFS(D8&lt;=20%,"Low Disount",D8&lt;=40%,"Medium Discount",D8&gt;40%,"High Discount")</f>
        <v>High Discount</v>
      </c>
    </row>
    <row r="10" spans="1:12" x14ac:dyDescent="0.3">
      <c r="A10" t="s">
        <v>42</v>
      </c>
      <c r="B10" s="3">
        <v>171</v>
      </c>
      <c r="C10" s="3">
        <v>360</v>
      </c>
      <c r="D10" s="1">
        <v>0.53</v>
      </c>
      <c r="E10">
        <v>2</v>
      </c>
      <c r="F10">
        <v>5</v>
      </c>
      <c r="G10" s="3">
        <f t="shared" si="0"/>
        <v>189</v>
      </c>
      <c r="H10" t="str" cm="1">
        <f t="array" ref="H10">IF(F9="","",_xlfn.IFS(F9&lt;3,"Poor",F9&lt;4,"Average",F9&gt;=4,"Excellent"))</f>
        <v>Average</v>
      </c>
      <c r="I10" s="4" t="str" cm="1">
        <f t="array" ref="I10">_xlfn.IFS(D9&lt;=20%,"Low Disount",D9&lt;=40%,"Medium Discount",D9&gt;40%,"High Discount")</f>
        <v>High Discount</v>
      </c>
    </row>
    <row r="11" spans="1:12" x14ac:dyDescent="0.3">
      <c r="A11" t="s">
        <v>68</v>
      </c>
      <c r="B11" s="3">
        <v>325</v>
      </c>
      <c r="C11" s="3">
        <v>680</v>
      </c>
      <c r="D11" s="1">
        <v>0.52</v>
      </c>
      <c r="E11">
        <v>15</v>
      </c>
      <c r="F11">
        <v>2.7</v>
      </c>
      <c r="G11" s="3">
        <f t="shared" si="0"/>
        <v>355</v>
      </c>
      <c r="H11" t="str" cm="1">
        <f t="array" ref="H11">IF(F10="","",_xlfn.IFS(F10&lt;3,"Poor",F10&lt;4,"Average",F10&gt;=4,"Excellent"))</f>
        <v>Excellent</v>
      </c>
      <c r="I11" s="4" t="str" cm="1">
        <f t="array" ref="I11">_xlfn.IFS(D10&lt;=20%,"Low Disount",D10&lt;=40%,"Medium Discount",D10&gt;40%,"High Discount")</f>
        <v>High Discount</v>
      </c>
    </row>
    <row r="12" spans="1:12" x14ac:dyDescent="0.3">
      <c r="A12" t="s">
        <v>36</v>
      </c>
      <c r="B12" s="3">
        <v>185</v>
      </c>
      <c r="C12" s="3">
        <v>382</v>
      </c>
      <c r="D12" s="1">
        <v>0.52</v>
      </c>
      <c r="E12">
        <v>9</v>
      </c>
      <c r="F12">
        <v>4.3</v>
      </c>
      <c r="G12" s="3">
        <f t="shared" si="0"/>
        <v>197</v>
      </c>
      <c r="H12" t="str" cm="1">
        <f t="array" ref="H12">IF(F11="","",_xlfn.IFS(F11&lt;3,"Poor",F11&lt;4,"Average",F11&gt;=4,"Excellent"))</f>
        <v>Poor</v>
      </c>
      <c r="I12" s="4" t="str" cm="1">
        <f t="array" ref="I12">_xlfn.IFS(D11&lt;=20%,"Low Disount",D11&lt;=40%,"Medium Discount",D11&gt;40%,"High Discount")</f>
        <v>High Discount</v>
      </c>
    </row>
    <row r="13" spans="1:12" x14ac:dyDescent="0.3">
      <c r="A13" t="s">
        <v>21</v>
      </c>
      <c r="B13" s="3">
        <v>332</v>
      </c>
      <c r="C13" s="3">
        <v>684</v>
      </c>
      <c r="D13" s="1">
        <v>0.51</v>
      </c>
      <c r="E13">
        <v>2</v>
      </c>
      <c r="F13">
        <v>5</v>
      </c>
      <c r="G13" s="3">
        <f t="shared" si="0"/>
        <v>352</v>
      </c>
      <c r="H13" t="str" cm="1">
        <f t="array" ref="H13">IF(F12="","",_xlfn.IFS(F12&lt;3,"Poor",F12&lt;4,"Average",F12&gt;=4,"Excellent"))</f>
        <v>Excellent</v>
      </c>
      <c r="I13" s="4" t="str" cm="1">
        <f t="array" ref="I13">_xlfn.IFS(D12&lt;=20%,"Low Disount",D12&lt;=40%,"Medium Discount",D12&gt;40%,"High Discount")</f>
        <v>High Discount</v>
      </c>
    </row>
    <row r="14" spans="1:12" x14ac:dyDescent="0.3">
      <c r="A14" t="s">
        <v>113</v>
      </c>
      <c r="B14" s="3">
        <v>450</v>
      </c>
      <c r="C14" s="3">
        <v>900</v>
      </c>
      <c r="D14" s="1">
        <v>0.5</v>
      </c>
      <c r="E14">
        <v>1</v>
      </c>
      <c r="F14">
        <v>2</v>
      </c>
      <c r="G14" s="3">
        <f t="shared" si="0"/>
        <v>450</v>
      </c>
      <c r="H14" t="str" cm="1">
        <f t="array" ref="H14">IF(F13="","",_xlfn.IFS(F13&lt;3,"Poor",F13&lt;4,"Average",F13&gt;=4,"Excellent"))</f>
        <v>Excellent</v>
      </c>
      <c r="I14" s="4" t="str" cm="1">
        <f t="array" ref="I14">_xlfn.IFS(D13&lt;=20%,"Low Disount",D13&lt;=40%,"Medium Discount",D13&gt;40%,"High Discount")</f>
        <v>High Discount</v>
      </c>
    </row>
    <row r="15" spans="1:12" x14ac:dyDescent="0.3">
      <c r="A15" t="s">
        <v>71</v>
      </c>
      <c r="B15" s="3">
        <v>1000</v>
      </c>
      <c r="C15" s="3">
        <v>2000</v>
      </c>
      <c r="D15" s="1">
        <v>0.5</v>
      </c>
      <c r="E15">
        <v>7</v>
      </c>
      <c r="F15">
        <v>2.2999999999999998</v>
      </c>
      <c r="G15" s="3">
        <f t="shared" si="0"/>
        <v>1000</v>
      </c>
      <c r="H15" t="str" cm="1">
        <f t="array" ref="H15">IF(F14="","",_xlfn.IFS(F14&lt;3,"Poor",F14&lt;4,"Average",F14&gt;=4,"Excellent"))</f>
        <v>Poor</v>
      </c>
      <c r="I15" s="4" t="str" cm="1">
        <f t="array" ref="I15">_xlfn.IFS(D14&lt;=20%,"Low Disount",D14&lt;=40%,"Medium Discount",D14&gt;40%,"High Discount")</f>
        <v>High Discount</v>
      </c>
      <c r="K15" s="13"/>
      <c r="L15" s="13"/>
    </row>
    <row r="16" spans="1:12" x14ac:dyDescent="0.3">
      <c r="A16" t="s">
        <v>97</v>
      </c>
      <c r="B16" s="3">
        <v>1200</v>
      </c>
      <c r="C16" s="3">
        <v>2400</v>
      </c>
      <c r="D16" s="1">
        <v>0.5</v>
      </c>
      <c r="G16" s="3">
        <f t="shared" si="0"/>
        <v>1200</v>
      </c>
      <c r="H16" t="str" cm="1">
        <f t="array" ref="H16">IF(F15="","",_xlfn.IFS(F15&lt;3,"Poor",F15&lt;4,"Average",F15&gt;=4,"Excellent"))</f>
        <v>Poor</v>
      </c>
      <c r="I16" s="4" t="str" cm="1">
        <f t="array" ref="I16">_xlfn.IFS(D15&lt;=20%,"Low Disount",D15&lt;=40%,"Medium Discount",D15&gt;40%,"High Discount")</f>
        <v>High Discount</v>
      </c>
    </row>
    <row r="17" spans="1:13" x14ac:dyDescent="0.3">
      <c r="A17" t="s">
        <v>55</v>
      </c>
      <c r="B17" s="3">
        <v>299</v>
      </c>
      <c r="C17" s="3">
        <v>600</v>
      </c>
      <c r="D17" s="1">
        <v>0.5</v>
      </c>
      <c r="G17" s="3">
        <f t="shared" si="0"/>
        <v>301</v>
      </c>
      <c r="H17" t="str" cm="1">
        <f t="array" ref="H17">IF(F16="","",_xlfn.IFS(F16&lt;3,"Poor",F16&lt;4,"Average",F16&gt;=4,"Excellent"))</f>
        <v/>
      </c>
      <c r="I17" s="4" t="str" cm="1">
        <f t="array" ref="I17">_xlfn.IFS(D16&lt;=20%,"Low Disount",D16&lt;=40%,"Medium Discount",D16&gt;40%,"High Discount")</f>
        <v>High Discount</v>
      </c>
    </row>
    <row r="18" spans="1:13" x14ac:dyDescent="0.3">
      <c r="A18" t="s">
        <v>50</v>
      </c>
      <c r="B18" s="3">
        <v>999</v>
      </c>
      <c r="C18" s="3">
        <v>2000</v>
      </c>
      <c r="D18" s="1">
        <v>0.5</v>
      </c>
      <c r="G18" s="3">
        <f t="shared" si="0"/>
        <v>1001</v>
      </c>
      <c r="H18" t="str" cm="1">
        <f t="array" ref="H18">IF(F17="","",_xlfn.IFS(F17&lt;3,"Poor",F17&lt;4,"Average",F17&gt;=4,"Excellent"))</f>
        <v/>
      </c>
      <c r="I18" s="4" t="str" cm="1">
        <f t="array" ref="I18">_xlfn.IFS(D17&lt;=20%,"Low Disount",D17&lt;=40%,"Medium Discount",D17&gt;40%,"High Discount")</f>
        <v>High Discount</v>
      </c>
    </row>
    <row r="19" spans="1:13" x14ac:dyDescent="0.3">
      <c r="A19" t="s">
        <v>47</v>
      </c>
      <c r="B19" s="3">
        <v>238</v>
      </c>
      <c r="C19" s="3">
        <v>476</v>
      </c>
      <c r="D19" s="1">
        <v>0.5</v>
      </c>
      <c r="G19" s="3">
        <f t="shared" si="0"/>
        <v>238</v>
      </c>
      <c r="H19" t="str" cm="1">
        <f t="array" ref="H19">IF(F18="","",_xlfn.IFS(F18&lt;3,"Poor",F18&lt;4,"Average",F18&gt;=4,"Excellent"))</f>
        <v/>
      </c>
      <c r="I19" s="4" t="str" cm="1">
        <f t="array" ref="I19">_xlfn.IFS(D18&lt;=20%,"Low Disount",D18&lt;=40%,"Medium Discount",D18&gt;40%,"High Discount")</f>
        <v>High Discount</v>
      </c>
    </row>
    <row r="20" spans="1:13" x14ac:dyDescent="0.3">
      <c r="A20" t="s">
        <v>93</v>
      </c>
      <c r="B20" s="3">
        <v>850</v>
      </c>
      <c r="C20" s="3">
        <v>1700</v>
      </c>
      <c r="D20" s="1">
        <v>0.5</v>
      </c>
      <c r="G20" s="3">
        <f t="shared" si="0"/>
        <v>850</v>
      </c>
      <c r="H20" t="str" cm="1">
        <f t="array" ref="H20">IF(F19="","",_xlfn.IFS(F19&lt;3,"Poor",F19&lt;4,"Average",F19&gt;=4,"Excellent"))</f>
        <v/>
      </c>
      <c r="I20" s="4" t="str" cm="1">
        <f t="array" ref="I20">_xlfn.IFS(D19&lt;=20%,"Low Disount",D19&lt;=40%,"Medium Discount",D19&gt;40%,"High Discount")</f>
        <v>High Discount</v>
      </c>
      <c r="J20" s="13" t="s">
        <v>119</v>
      </c>
      <c r="K20" s="13">
        <f>AVERAGE(C:C)</f>
        <v>1811.1071428571429</v>
      </c>
    </row>
    <row r="21" spans="1:13" x14ac:dyDescent="0.3">
      <c r="A21" t="s">
        <v>67</v>
      </c>
      <c r="B21" s="3">
        <v>445</v>
      </c>
      <c r="C21" s="3">
        <v>873</v>
      </c>
      <c r="D21" s="1">
        <v>0.49</v>
      </c>
      <c r="E21">
        <v>69</v>
      </c>
      <c r="F21">
        <v>2.8</v>
      </c>
      <c r="G21" s="3">
        <f t="shared" si="0"/>
        <v>428</v>
      </c>
      <c r="H21" t="str" cm="1">
        <f t="array" ref="H21">IF(F20="","",_xlfn.IFS(F20&lt;3,"Poor",F20&lt;4,"Average",F20&gt;=4,"Excellent"))</f>
        <v/>
      </c>
      <c r="I21" s="4" t="str" cm="1">
        <f t="array" ref="I21">_xlfn.IFS(D20&lt;=20%,"Low Disount",D20&lt;=40%,"Medium Discount",D20&gt;40%,"High Discount")</f>
        <v>High Discount</v>
      </c>
      <c r="J21" s="13" t="s">
        <v>120</v>
      </c>
      <c r="K21" s="13">
        <f>AVERAGE(D:D)</f>
        <v>0.36776785714285737</v>
      </c>
      <c r="M21" s="5"/>
    </row>
    <row r="22" spans="1:13" x14ac:dyDescent="0.3">
      <c r="A22" t="s">
        <v>87</v>
      </c>
      <c r="B22" s="3">
        <v>330</v>
      </c>
      <c r="C22" s="3">
        <v>647</v>
      </c>
      <c r="D22" s="1">
        <v>0.49</v>
      </c>
      <c r="E22">
        <v>1</v>
      </c>
      <c r="F22">
        <v>4</v>
      </c>
      <c r="G22" s="3">
        <f t="shared" si="0"/>
        <v>317</v>
      </c>
      <c r="H22" t="str" cm="1">
        <f t="array" ref="H22">IF(F21="","",_xlfn.IFS(F21&lt;3,"Poor",F21&lt;4,"Average",F21&gt;=4,"Excellent"))</f>
        <v>Poor</v>
      </c>
      <c r="I22" s="4" t="str" cm="1">
        <f t="array" ref="I22">_xlfn.IFS(D21&lt;=20%,"Low Disount",D21&lt;=40%,"Medium Discount",D21&gt;40%,"High Discount")</f>
        <v>High Discount</v>
      </c>
      <c r="J22" s="6" t="s">
        <v>118</v>
      </c>
      <c r="K22" s="7">
        <f>AVERAGE(B:B)</f>
        <v>1186.8928571428571</v>
      </c>
    </row>
    <row r="23" spans="1:13" x14ac:dyDescent="0.3">
      <c r="A23" t="s">
        <v>25</v>
      </c>
      <c r="B23" s="3">
        <v>998</v>
      </c>
      <c r="C23" s="3">
        <v>1966</v>
      </c>
      <c r="D23" s="1">
        <v>0.49</v>
      </c>
      <c r="E23">
        <v>44</v>
      </c>
      <c r="F23">
        <v>4.5999999999999996</v>
      </c>
      <c r="G23" s="3">
        <f t="shared" si="0"/>
        <v>968</v>
      </c>
      <c r="H23" t="str" cm="1">
        <f t="array" ref="H23">IF(F22="","",_xlfn.IFS(F22&lt;3,"Poor",F22&lt;4,"Average",F22&gt;=4,"Excellent"))</f>
        <v>Excellent</v>
      </c>
      <c r="I23" s="4" t="str" cm="1">
        <f t="array" ref="I23">_xlfn.IFS(D22&lt;=20%,"Low Disount",D22&lt;=40%,"Medium Discount",D22&gt;40%,"High Discount")</f>
        <v>High Discount</v>
      </c>
      <c r="J23" s="13" t="s">
        <v>119</v>
      </c>
      <c r="K23" s="13">
        <f>AVERAGE(C:C)</f>
        <v>1811.1071428571429</v>
      </c>
    </row>
    <row r="24" spans="1:13" x14ac:dyDescent="0.3">
      <c r="A24" t="s">
        <v>84</v>
      </c>
      <c r="B24" s="3">
        <v>979</v>
      </c>
      <c r="C24" s="3">
        <v>1920</v>
      </c>
      <c r="D24" s="1">
        <v>0.49</v>
      </c>
      <c r="E24">
        <v>1</v>
      </c>
      <c r="F24">
        <v>5</v>
      </c>
      <c r="G24" s="3">
        <f t="shared" si="0"/>
        <v>941</v>
      </c>
      <c r="H24" t="str" cm="1">
        <f t="array" ref="H24">IF(F23="","",_xlfn.IFS(F23&lt;3,"Poor",F23&lt;4,"Average",F23&gt;=4,"Excellent"))</f>
        <v>Excellent</v>
      </c>
      <c r="I24" s="4" t="str" cm="1">
        <f t="array" ref="I24">_xlfn.IFS(D23&lt;=20%,"Low Disount",D23&lt;=40%,"Medium Discount",D23&gt;40%,"High Discount")</f>
        <v>High Discount</v>
      </c>
      <c r="J24" s="13" t="s">
        <v>120</v>
      </c>
      <c r="K24" s="13">
        <f>AVERAGE(D:D)</f>
        <v>0.36776785714285737</v>
      </c>
    </row>
    <row r="25" spans="1:13" x14ac:dyDescent="0.3">
      <c r="A25" t="s">
        <v>23</v>
      </c>
      <c r="B25" s="3">
        <v>2025</v>
      </c>
      <c r="C25" s="3">
        <v>3971</v>
      </c>
      <c r="D25" s="1">
        <v>0.49</v>
      </c>
      <c r="E25">
        <v>3</v>
      </c>
      <c r="F25">
        <v>5</v>
      </c>
      <c r="G25" s="3">
        <f t="shared" si="0"/>
        <v>1946</v>
      </c>
      <c r="H25" t="str" cm="1">
        <f t="array" ref="H25">IF(F24="","",_xlfn.IFS(F24&lt;3,"Poor",F24&lt;4,"Average",F24&gt;=4,"Excellent"))</f>
        <v>Excellent</v>
      </c>
      <c r="I25" s="4" t="str" cm="1">
        <f t="array" ref="I25">_xlfn.IFS(D24&lt;=20%,"Low Disount",D24&lt;=40%,"Medium Discount",D24&gt;40%,"High Discount")</f>
        <v>High Discount</v>
      </c>
      <c r="J25" s="13" t="s">
        <v>121</v>
      </c>
      <c r="K25" s="13" t="str">
        <f>_xlfn.XLOOKUP(MIN(B:B), B:B, A:A)</f>
        <v>3PCS Single Head Knitting Crochet Sweater Needle Set</v>
      </c>
    </row>
    <row r="26" spans="1:13" x14ac:dyDescent="0.3">
      <c r="A26" t="s">
        <v>100</v>
      </c>
      <c r="B26" s="3">
        <v>248</v>
      </c>
      <c r="C26" s="3">
        <v>486</v>
      </c>
      <c r="D26" s="1">
        <v>0.49</v>
      </c>
      <c r="G26" s="3">
        <f t="shared" si="0"/>
        <v>238</v>
      </c>
      <c r="H26" t="str" cm="1">
        <f t="array" ref="H26">IF(F25="","",_xlfn.IFS(F25&lt;3,"Poor",F25&lt;4,"Average",F25&gt;=4,"Excellent"))</f>
        <v>Excellent</v>
      </c>
      <c r="I26" s="4" t="str" cm="1">
        <f t="array" ref="I26">_xlfn.IFS(D25&lt;=20%,"Low Disount",D25&lt;=40%,"Medium Discount",D25&gt;40%,"High Discount")</f>
        <v>High Discount</v>
      </c>
    </row>
    <row r="27" spans="1:13" x14ac:dyDescent="0.3">
      <c r="A27" t="s">
        <v>46</v>
      </c>
      <c r="B27" s="3">
        <v>475</v>
      </c>
      <c r="C27" s="3">
        <v>931</v>
      </c>
      <c r="D27" s="1">
        <v>0.49</v>
      </c>
      <c r="G27" s="3">
        <f t="shared" si="0"/>
        <v>456</v>
      </c>
      <c r="H27" t="str" cm="1">
        <f t="array" ref="H27">IF(F26="","",_xlfn.IFS(F26&lt;3,"Poor",F26&lt;4,"Average",F26&gt;=4,"Excellent"))</f>
        <v/>
      </c>
      <c r="I27" s="4" t="str" cm="1">
        <f t="array" ref="I27">_xlfn.IFS(D26&lt;=20%,"Low Disount",D26&lt;=40%,"Medium Discount",D26&gt;40%,"High Discount")</f>
        <v>High Discount</v>
      </c>
    </row>
    <row r="28" spans="1:13" x14ac:dyDescent="0.3">
      <c r="A28" t="s">
        <v>82</v>
      </c>
      <c r="B28" s="3">
        <v>230</v>
      </c>
      <c r="C28" s="3">
        <v>450</v>
      </c>
      <c r="D28" s="1">
        <v>0.49</v>
      </c>
      <c r="G28" s="3">
        <f t="shared" si="0"/>
        <v>220</v>
      </c>
      <c r="H28" t="str" cm="1">
        <f t="array" ref="H28">IF(F27="","",_xlfn.IFS(F27&lt;3,"Poor",F27&lt;4,"Average",F27&gt;=4,"Excellent"))</f>
        <v/>
      </c>
      <c r="I28" s="4" t="str" cm="1">
        <f t="array" ref="I28">_xlfn.IFS(D27&lt;=20%,"Low Disount",D27&lt;=40%,"Medium Discount",D27&gt;40%,"High Discount")</f>
        <v>High Discount</v>
      </c>
    </row>
    <row r="29" spans="1:13" x14ac:dyDescent="0.3">
      <c r="A29" t="s">
        <v>62</v>
      </c>
      <c r="B29" s="3">
        <v>799</v>
      </c>
      <c r="C29" s="3">
        <v>1567</v>
      </c>
      <c r="D29" s="1">
        <v>0.49</v>
      </c>
      <c r="G29" s="3">
        <f t="shared" si="0"/>
        <v>768</v>
      </c>
      <c r="H29" t="str" cm="1">
        <f t="array" ref="H29">IF(F28="","",_xlfn.IFS(F28&lt;3,"Poor",F28&lt;4,"Average",F28&gt;=4,"Excellent"))</f>
        <v/>
      </c>
      <c r="I29" s="4" t="str" cm="1">
        <f t="array" ref="I29">_xlfn.IFS(D28&lt;=20%,"Low Disount",D28&lt;=40%,"Medium Discount",D28&gt;40%,"High Discount")</f>
        <v>High Discount</v>
      </c>
    </row>
    <row r="30" spans="1:13" x14ac:dyDescent="0.3">
      <c r="A30" t="s">
        <v>62</v>
      </c>
      <c r="B30" s="3">
        <v>657</v>
      </c>
      <c r="C30" s="3">
        <v>1288</v>
      </c>
      <c r="D30" s="1">
        <v>0.49</v>
      </c>
      <c r="G30" s="3">
        <f t="shared" si="0"/>
        <v>631</v>
      </c>
      <c r="H30" t="str" cm="1">
        <f t="array" ref="H30">IF(F29="","",_xlfn.IFS(F29&lt;3,"Poor",F29&lt;4,"Average",F29&gt;=4,"Excellent"))</f>
        <v/>
      </c>
      <c r="I30" s="4" t="str" cm="1">
        <f t="array" ref="I30">_xlfn.IFS(D29&lt;=20%,"Low Disount",D29&lt;=40%,"Medium Discount",D29&gt;40%,"High Discount")</f>
        <v>High Discount</v>
      </c>
    </row>
    <row r="31" spans="1:13" x14ac:dyDescent="0.3">
      <c r="A31" t="s">
        <v>102</v>
      </c>
      <c r="B31" s="3">
        <v>525</v>
      </c>
      <c r="C31" s="3">
        <v>1029</v>
      </c>
      <c r="D31" s="1">
        <v>0.49</v>
      </c>
      <c r="G31" s="3">
        <f t="shared" si="0"/>
        <v>504</v>
      </c>
      <c r="H31" t="str" cm="1">
        <f t="array" ref="H31">IF(F30="","",_xlfn.IFS(F30&lt;3,"Poor",F30&lt;4,"Average",F30&gt;=4,"Excellent"))</f>
        <v/>
      </c>
      <c r="I31" s="4" t="str" cm="1">
        <f t="array" ref="I31">_xlfn.IFS(D30&lt;=20%,"Low Disount",D30&lt;=40%,"Medium Discount",D30&gt;40%,"High Discount")</f>
        <v>High Discount</v>
      </c>
    </row>
    <row r="32" spans="1:13" x14ac:dyDescent="0.3">
      <c r="A32" t="s">
        <v>52</v>
      </c>
      <c r="B32" s="3">
        <v>671</v>
      </c>
      <c r="C32" s="3">
        <v>1316</v>
      </c>
      <c r="D32" s="1">
        <v>0.49</v>
      </c>
      <c r="G32" s="3">
        <f t="shared" si="0"/>
        <v>645</v>
      </c>
      <c r="H32" t="str" cm="1">
        <f t="array" ref="H32">IF(F31="","",_xlfn.IFS(F31&lt;3,"Poor",F31&lt;4,"Average",F31&gt;=4,"Excellent"))</f>
        <v/>
      </c>
      <c r="I32" s="4" t="str" cm="1">
        <f t="array" ref="I32">_xlfn.IFS(D31&lt;=20%,"Low Disount",D31&lt;=40%,"Medium Discount",D31&gt;40%,"High Discount")</f>
        <v>High Discount</v>
      </c>
    </row>
    <row r="33" spans="1:12" x14ac:dyDescent="0.3">
      <c r="A33" t="s">
        <v>89</v>
      </c>
      <c r="B33" s="3">
        <v>274</v>
      </c>
      <c r="C33" s="3">
        <v>537</v>
      </c>
      <c r="D33" s="1">
        <v>0.49</v>
      </c>
      <c r="G33" s="3">
        <f t="shared" si="0"/>
        <v>263</v>
      </c>
      <c r="H33" t="str" cm="1">
        <f t="array" ref="H33">IF(F32="","",_xlfn.IFS(F32&lt;3,"Poor",F32&lt;4,"Average",F32&gt;=4,"Excellent"))</f>
        <v/>
      </c>
      <c r="I33" s="4" t="str" cm="1">
        <f t="array" ref="I33">_xlfn.IFS(D32&lt;=20%,"Low Disount",D32&lt;=40%,"Medium Discount",D32&gt;40%,"High Discount")</f>
        <v>High Discount</v>
      </c>
    </row>
    <row r="34" spans="1:12" x14ac:dyDescent="0.3">
      <c r="A34" t="s">
        <v>54</v>
      </c>
      <c r="B34" s="3">
        <v>176</v>
      </c>
      <c r="C34" s="3">
        <v>345</v>
      </c>
      <c r="D34" s="1">
        <v>0.49</v>
      </c>
      <c r="G34" s="3">
        <f t="shared" ref="G34:G65" si="1">(C34-B34)</f>
        <v>169</v>
      </c>
      <c r="H34" t="str" cm="1">
        <f t="array" ref="H34">IF(F33="","",_xlfn.IFS(F33&lt;3,"Poor",F33&lt;4,"Average",F33&gt;=4,"Excellent"))</f>
        <v/>
      </c>
      <c r="I34" s="4" t="str" cm="1">
        <f t="array" ref="I34">_xlfn.IFS(D33&lt;=20%,"Low Disount",D33&lt;=40%,"Medium Discount",D33&gt;40%,"High Discount")</f>
        <v>High Discount</v>
      </c>
    </row>
    <row r="35" spans="1:12" x14ac:dyDescent="0.3">
      <c r="A35" t="s">
        <v>38</v>
      </c>
      <c r="B35" s="3">
        <v>1820</v>
      </c>
      <c r="C35" s="3">
        <v>3490</v>
      </c>
      <c r="D35" s="1">
        <v>0.48</v>
      </c>
      <c r="E35">
        <v>9</v>
      </c>
      <c r="F35">
        <v>4.3</v>
      </c>
      <c r="G35" s="3">
        <f t="shared" si="1"/>
        <v>1670</v>
      </c>
      <c r="H35" t="str" cm="1">
        <f t="array" ref="H35">IF(F34="","",_xlfn.IFS(F34&lt;3,"Poor",F34&lt;4,"Average",F34&gt;=4,"Excellent"))</f>
        <v/>
      </c>
      <c r="I35" s="4" t="str" cm="1">
        <f t="array" ref="I35">_xlfn.IFS(D34&lt;=20%,"Low Disount",D34&lt;=40%,"Medium Discount",D34&gt;40%,"High Discount")</f>
        <v>High Discount</v>
      </c>
    </row>
    <row r="36" spans="1:12" x14ac:dyDescent="0.3">
      <c r="A36" t="s">
        <v>61</v>
      </c>
      <c r="B36" s="3">
        <v>699</v>
      </c>
      <c r="C36" s="3">
        <v>1343</v>
      </c>
      <c r="D36" s="1">
        <v>0.48</v>
      </c>
      <c r="G36" s="3">
        <f t="shared" si="1"/>
        <v>644</v>
      </c>
      <c r="H36" t="str" cm="1">
        <f t="array" ref="H36">IF(F35="","",_xlfn.IFS(F35&lt;3,"Poor",F35&lt;4,"Average",F35&gt;=4,"Excellent"))</f>
        <v>Excellent</v>
      </c>
      <c r="I36" s="4" t="str" cm="1">
        <f t="array" ref="I36">_xlfn.IFS(D35&lt;=20%,"Low Disount",D35&lt;=40%,"Medium Discount",D35&gt;40%,"High Discount")</f>
        <v>High Discount</v>
      </c>
    </row>
    <row r="37" spans="1:12" x14ac:dyDescent="0.3">
      <c r="A37" t="s">
        <v>94</v>
      </c>
      <c r="B37" s="3">
        <v>1300</v>
      </c>
      <c r="C37" s="3">
        <v>2500</v>
      </c>
      <c r="D37" s="1">
        <v>0.48</v>
      </c>
      <c r="G37" s="3">
        <f t="shared" si="1"/>
        <v>1200</v>
      </c>
      <c r="H37" t="str" cm="1">
        <f t="array" ref="H37">IF(F36="","",_xlfn.IFS(F36&lt;3,"Poor",F36&lt;4,"Average",F36&gt;=4,"Excellent"))</f>
        <v/>
      </c>
      <c r="I37" s="4" t="str" cm="1">
        <f t="array" ref="I37">_xlfn.IFS(D36&lt;=20%,"Low Disount",D36&lt;=40%,"Medium Discount",D36&gt;40%,"High Discount")</f>
        <v>High Discount</v>
      </c>
    </row>
    <row r="38" spans="1:12" x14ac:dyDescent="0.3">
      <c r="A38" t="s">
        <v>95</v>
      </c>
      <c r="B38" s="3">
        <v>105</v>
      </c>
      <c r="C38" s="3">
        <v>200</v>
      </c>
      <c r="D38" s="1">
        <v>0.48</v>
      </c>
      <c r="G38" s="3">
        <f t="shared" si="1"/>
        <v>95</v>
      </c>
      <c r="H38" t="str" cm="1">
        <f t="array" ref="H38">IF(F37="","",_xlfn.IFS(F37&lt;3,"Poor",F37&lt;4,"Average",F37&gt;=4,"Excellent"))</f>
        <v/>
      </c>
      <c r="I38" s="4" t="str" cm="1">
        <f t="array" ref="I38">_xlfn.IFS(D37&lt;=20%,"Low Disount",D37&lt;=40%,"Medium Discount",D37&gt;40%,"High Discount")</f>
        <v>High Discount</v>
      </c>
    </row>
    <row r="39" spans="1:12" x14ac:dyDescent="0.3">
      <c r="A39" t="s">
        <v>78</v>
      </c>
      <c r="B39" s="3">
        <v>1570</v>
      </c>
      <c r="C39" s="3">
        <v>2988</v>
      </c>
      <c r="D39" s="1">
        <v>0.47</v>
      </c>
      <c r="E39">
        <v>7</v>
      </c>
      <c r="F39">
        <v>2.1</v>
      </c>
      <c r="G39" s="3">
        <f t="shared" si="1"/>
        <v>1418</v>
      </c>
      <c r="H39" t="str" cm="1">
        <f t="array" ref="H39">IF(F38="","",_xlfn.IFS(F38&lt;3,"Poor",F38&lt;4,"Average",F38&gt;=4,"Excellent"))</f>
        <v/>
      </c>
      <c r="I39" s="4" t="str" cm="1">
        <f t="array" ref="I39">_xlfn.IFS(D38&lt;=20%,"Low Disount",D38&lt;=40%,"Medium Discount",D38&gt;40%,"High Discount")</f>
        <v>High Discount</v>
      </c>
      <c r="K39" s="13"/>
      <c r="L39" s="13"/>
    </row>
    <row r="40" spans="1:12" x14ac:dyDescent="0.3">
      <c r="A40" t="s">
        <v>77</v>
      </c>
      <c r="B40" s="3">
        <v>968</v>
      </c>
      <c r="C40" s="3">
        <v>1814</v>
      </c>
      <c r="D40" s="1">
        <v>0.47</v>
      </c>
      <c r="E40">
        <v>6</v>
      </c>
      <c r="F40">
        <v>2.2000000000000002</v>
      </c>
      <c r="G40" s="3">
        <f t="shared" si="1"/>
        <v>846</v>
      </c>
      <c r="H40" t="str" cm="1">
        <f t="array" ref="H40">IF(F39="","",_xlfn.IFS(F39&lt;3,"Poor",F39&lt;4,"Average",F39&gt;=4,"Excellent"))</f>
        <v>Poor</v>
      </c>
      <c r="I40" s="4" t="str" cm="1">
        <f t="array" ref="I40">_xlfn.IFS(D39&lt;=20%,"Low Disount",D39&lt;=40%,"Medium Discount",D39&gt;40%,"High Discount")</f>
        <v>High Discount</v>
      </c>
      <c r="K40" s="13"/>
      <c r="L40" s="13"/>
    </row>
    <row r="41" spans="1:12" x14ac:dyDescent="0.3">
      <c r="A41" t="s">
        <v>7</v>
      </c>
      <c r="B41" s="3">
        <v>527</v>
      </c>
      <c r="C41" s="3">
        <v>999</v>
      </c>
      <c r="D41" s="1">
        <v>0.47</v>
      </c>
      <c r="E41">
        <v>14</v>
      </c>
      <c r="F41">
        <v>4.0999999999999996</v>
      </c>
      <c r="G41" s="3">
        <f t="shared" si="1"/>
        <v>472</v>
      </c>
      <c r="H41" t="str" cm="1">
        <f t="array" ref="H41">IF(F40="","",_xlfn.IFS(F40&lt;3,"Poor",F40&lt;4,"Average",F40&gt;=4,"Excellent"))</f>
        <v>Poor</v>
      </c>
      <c r="I41" s="4" t="str" cm="1">
        <f t="array" ref="I41">_xlfn.IFS(D40&lt;=20%,"Low Disount",D40&lt;=40%,"Medium Discount",D40&gt;40%,"High Discount")</f>
        <v>High Discount</v>
      </c>
    </row>
    <row r="42" spans="1:12" x14ac:dyDescent="0.3">
      <c r="A42" t="s">
        <v>18</v>
      </c>
      <c r="B42" s="3">
        <v>552</v>
      </c>
      <c r="C42" s="3">
        <v>1035</v>
      </c>
      <c r="D42" s="1">
        <v>0.47</v>
      </c>
      <c r="E42">
        <v>12</v>
      </c>
      <c r="F42">
        <v>4.8</v>
      </c>
      <c r="G42" s="3">
        <f t="shared" si="1"/>
        <v>483</v>
      </c>
      <c r="H42" t="str" cm="1">
        <f t="array" ref="H42">IF(F41="","",_xlfn.IFS(F41&lt;3,"Poor",F41&lt;4,"Average",F41&gt;=4,"Excellent"))</f>
        <v>Excellent</v>
      </c>
      <c r="I42" s="4" t="str" cm="1">
        <f t="array" ref="I42">_xlfn.IFS(D41&lt;=20%,"Low Disount",D41&lt;=40%,"Medium Discount",D41&gt;40%,"High Discount")</f>
        <v>High Discount</v>
      </c>
    </row>
    <row r="43" spans="1:12" x14ac:dyDescent="0.3">
      <c r="A43" t="s">
        <v>79</v>
      </c>
      <c r="B43" s="3">
        <v>790</v>
      </c>
      <c r="C43" s="3">
        <v>1485</v>
      </c>
      <c r="D43" s="1">
        <v>0.47</v>
      </c>
      <c r="G43" s="3">
        <f t="shared" si="1"/>
        <v>695</v>
      </c>
      <c r="H43" t="str" cm="1">
        <f t="array" ref="H43">IF(F42="","",_xlfn.IFS(F42&lt;3,"Poor",F42&lt;4,"Average",F42&gt;=4,"Excellent"))</f>
        <v>Excellent</v>
      </c>
      <c r="I43" s="4" t="str" cm="1">
        <f t="array" ref="I43">_xlfn.IFS(D42&lt;=20%,"Low Disount",D42&lt;=40%,"Medium Discount",D42&gt;40%,"High Discount")</f>
        <v>High Discount</v>
      </c>
    </row>
    <row r="44" spans="1:12" x14ac:dyDescent="0.3">
      <c r="A44" t="s">
        <v>96</v>
      </c>
      <c r="B44" s="3">
        <v>899</v>
      </c>
      <c r="C44" s="3">
        <v>1699</v>
      </c>
      <c r="D44" s="1">
        <v>0.47</v>
      </c>
      <c r="G44" s="3">
        <f t="shared" si="1"/>
        <v>800</v>
      </c>
      <c r="H44" t="str" cm="1">
        <f t="array" ref="H44">IF(F43="","",_xlfn.IFS(F43&lt;3,"Poor",F43&lt;4,"Average",F43&gt;=4,"Excellent"))</f>
        <v/>
      </c>
      <c r="I44" s="4" t="str" cm="1">
        <f t="array" ref="I44">_xlfn.IFS(D43&lt;=20%,"Low Disount",D43&lt;=40%,"Medium Discount",D43&gt;40%,"High Discount")</f>
        <v>High Discount</v>
      </c>
    </row>
    <row r="45" spans="1:12" x14ac:dyDescent="0.3">
      <c r="A45" t="s">
        <v>114</v>
      </c>
      <c r="B45" s="3">
        <v>169</v>
      </c>
      <c r="C45" s="3">
        <v>320</v>
      </c>
      <c r="D45" s="1">
        <v>0.47</v>
      </c>
      <c r="G45" s="3">
        <f t="shared" si="1"/>
        <v>151</v>
      </c>
      <c r="H45" t="str" cm="1">
        <f t="array" ref="H45">IF(F44="","",_xlfn.IFS(F44&lt;3,"Poor",F44&lt;4,"Average",F44&gt;=4,"Excellent"))</f>
        <v/>
      </c>
      <c r="I45" s="4" t="str" cm="1">
        <f t="array" ref="I45">_xlfn.IFS(D44&lt;=20%,"Low Disount",D44&lt;=40%,"Medium Discount",D44&gt;40%,"High Discount")</f>
        <v>High Discount</v>
      </c>
    </row>
    <row r="46" spans="1:12" x14ac:dyDescent="0.3">
      <c r="A46" t="s">
        <v>83</v>
      </c>
      <c r="B46" s="3">
        <v>1189</v>
      </c>
      <c r="C46" s="3">
        <v>2199</v>
      </c>
      <c r="D46" s="1">
        <v>0.46</v>
      </c>
      <c r="E46">
        <v>1</v>
      </c>
      <c r="F46">
        <v>3</v>
      </c>
      <c r="G46" s="3">
        <f t="shared" si="1"/>
        <v>1010</v>
      </c>
      <c r="H46" t="str" cm="1">
        <f t="array" ref="H46">IF(F45="","",_xlfn.IFS(F45&lt;3,"Poor",F45&lt;4,"Average",F45&gt;=4,"Excellent"))</f>
        <v/>
      </c>
      <c r="I46" s="4" t="str" cm="1">
        <f t="array" ref="I46">_xlfn.IFS(D45&lt;=20%,"Low Disount",D45&lt;=40%,"Medium Discount",D45&gt;40%,"High Discount")</f>
        <v>High Discount</v>
      </c>
    </row>
    <row r="47" spans="1:12" x14ac:dyDescent="0.3">
      <c r="A47" t="s">
        <v>22</v>
      </c>
      <c r="B47" s="3">
        <v>195</v>
      </c>
      <c r="C47" s="3">
        <v>360</v>
      </c>
      <c r="D47" s="1">
        <v>0.46</v>
      </c>
      <c r="E47">
        <v>2</v>
      </c>
      <c r="F47">
        <v>5</v>
      </c>
      <c r="G47" s="3">
        <f t="shared" si="1"/>
        <v>165</v>
      </c>
      <c r="H47" t="str" cm="1">
        <f t="array" ref="H47">IF(F46="","",_xlfn.IFS(F46&lt;3,"Poor",F46&lt;4,"Average",F46&gt;=4,"Excellent"))</f>
        <v>Average</v>
      </c>
      <c r="I47" s="4" t="str" cm="1">
        <f t="array" ref="I47">_xlfn.IFS(D46&lt;=20%,"Low Disount",D46&lt;=40%,"Medium Discount",D46&gt;40%,"High Discount")</f>
        <v>High Discount</v>
      </c>
    </row>
    <row r="48" spans="1:12" x14ac:dyDescent="0.3">
      <c r="A48" t="s">
        <v>35</v>
      </c>
      <c r="B48" s="3">
        <v>2200</v>
      </c>
      <c r="C48" s="3">
        <v>4080</v>
      </c>
      <c r="D48" s="1">
        <v>0.46</v>
      </c>
      <c r="G48" s="3">
        <f t="shared" si="1"/>
        <v>1880</v>
      </c>
      <c r="H48" t="str" cm="1">
        <f t="array" ref="H48">IF(F47="","",_xlfn.IFS(F47&lt;3,"Poor",F47&lt;4,"Average",F47&gt;=4,"Excellent"))</f>
        <v>Excellent</v>
      </c>
      <c r="I48" s="4" t="str" cm="1">
        <f t="array" ref="I48">_xlfn.IFS(D47&lt;=20%,"Low Disount",D47&lt;=40%,"Medium Discount",D47&gt;40%,"High Discount")</f>
        <v>High Discount</v>
      </c>
    </row>
    <row r="49" spans="1:12" x14ac:dyDescent="0.3">
      <c r="A49" t="s">
        <v>70</v>
      </c>
      <c r="B49" s="3">
        <v>990</v>
      </c>
      <c r="C49" s="3">
        <v>1814</v>
      </c>
      <c r="D49" s="1">
        <v>0.45</v>
      </c>
      <c r="E49">
        <v>6</v>
      </c>
      <c r="F49">
        <v>2.2000000000000002</v>
      </c>
      <c r="G49" s="3">
        <f t="shared" si="1"/>
        <v>824</v>
      </c>
      <c r="H49" t="str" cm="1">
        <f t="array" ref="H49">IF(F48="","",_xlfn.IFS(F48&lt;3,"Poor",F48&lt;4,"Average",F48&gt;=4,"Excellent"))</f>
        <v/>
      </c>
      <c r="I49" s="4" t="str" cm="1">
        <f t="array" ref="I49">_xlfn.IFS(D48&lt;=20%,"Low Disount",D48&lt;=40%,"Medium Discount",D48&gt;40%,"High Discount")</f>
        <v>High Discount</v>
      </c>
      <c r="K49" s="13"/>
      <c r="L49" s="13"/>
    </row>
    <row r="50" spans="1:12" x14ac:dyDescent="0.3">
      <c r="A50" t="s">
        <v>73</v>
      </c>
      <c r="B50" s="3">
        <v>382</v>
      </c>
      <c r="C50" s="3">
        <v>700</v>
      </c>
      <c r="D50" s="1">
        <v>0.45</v>
      </c>
      <c r="E50">
        <v>17</v>
      </c>
      <c r="F50">
        <v>2.6</v>
      </c>
      <c r="G50" s="3">
        <f t="shared" si="1"/>
        <v>318</v>
      </c>
      <c r="H50" t="str" cm="1">
        <f t="array" ref="H50">IF(F49="","",_xlfn.IFS(F49&lt;3,"Poor",F49&lt;4,"Average",F49&gt;=4,"Excellent"))</f>
        <v>Poor</v>
      </c>
      <c r="I50" s="4" t="str" cm="1">
        <f t="array" ref="I50">_xlfn.IFS(D49&lt;=20%,"Low Disount",D49&lt;=40%,"Medium Discount",D49&gt;40%,"High Discount")</f>
        <v>High Discount</v>
      </c>
    </row>
    <row r="51" spans="1:12" x14ac:dyDescent="0.3">
      <c r="A51" t="s">
        <v>15</v>
      </c>
      <c r="B51" s="3">
        <v>1600</v>
      </c>
      <c r="C51" s="3">
        <v>2929</v>
      </c>
      <c r="D51" s="1">
        <v>0.45</v>
      </c>
      <c r="E51">
        <v>5</v>
      </c>
      <c r="F51">
        <v>3.8</v>
      </c>
      <c r="G51" s="3">
        <f t="shared" si="1"/>
        <v>1329</v>
      </c>
      <c r="H51" t="str" cm="1">
        <f t="array" ref="H51">IF(F50="","",_xlfn.IFS(F50&lt;3,"Poor",F50&lt;4,"Average",F50&gt;=4,"Excellent"))</f>
        <v>Poor</v>
      </c>
      <c r="I51" s="4" t="str" cm="1">
        <f t="array" ref="I51">_xlfn.IFS(D50&lt;=20%,"Low Disount",D50&lt;=40%,"Medium Discount",D50&gt;40%,"High Discount")</f>
        <v>High Discount</v>
      </c>
    </row>
    <row r="52" spans="1:12" x14ac:dyDescent="0.3">
      <c r="A52" t="s">
        <v>60</v>
      </c>
      <c r="B52" s="3">
        <v>499</v>
      </c>
      <c r="C52" s="3">
        <v>900</v>
      </c>
      <c r="D52" s="1">
        <v>0.45</v>
      </c>
      <c r="G52" s="3">
        <f t="shared" si="1"/>
        <v>401</v>
      </c>
      <c r="H52" t="str" cm="1">
        <f t="array" ref="H52">IF(F51="","",_xlfn.IFS(F51&lt;3,"Poor",F51&lt;4,"Average",F51&gt;=4,"Excellent"))</f>
        <v>Average</v>
      </c>
      <c r="I52" s="4" t="str" cm="1">
        <f t="array" ref="I52">_xlfn.IFS(D51&lt;=20%,"Low Disount",D51&lt;=40%,"Medium Discount",D51&gt;40%,"High Discount")</f>
        <v>High Discount</v>
      </c>
    </row>
    <row r="53" spans="1:12" x14ac:dyDescent="0.3">
      <c r="A53" t="s">
        <v>75</v>
      </c>
      <c r="B53" s="3">
        <v>345</v>
      </c>
      <c r="C53" s="3">
        <v>602</v>
      </c>
      <c r="D53" s="1">
        <v>0.43</v>
      </c>
      <c r="E53">
        <v>6</v>
      </c>
      <c r="F53">
        <v>2.2999999999999998</v>
      </c>
      <c r="G53" s="3">
        <f t="shared" si="1"/>
        <v>257</v>
      </c>
      <c r="H53" t="str" cm="1">
        <f t="array" ref="H53">IF(F52="","",_xlfn.IFS(F52&lt;3,"Poor",F52&lt;4,"Average",F52&gt;=4,"Excellent"))</f>
        <v/>
      </c>
      <c r="I53" s="4" t="str" cm="1">
        <f t="array" ref="I53">_xlfn.IFS(D52&lt;=20%,"Low Disount",D52&lt;=40%,"Medium Discount",D52&gt;40%,"High Discount")</f>
        <v>High Discount</v>
      </c>
      <c r="K53" s="13"/>
      <c r="L53" s="13"/>
    </row>
    <row r="54" spans="1:12" x14ac:dyDescent="0.3">
      <c r="A54" t="s">
        <v>76</v>
      </c>
      <c r="B54" s="3">
        <v>509</v>
      </c>
      <c r="C54" s="3">
        <v>899</v>
      </c>
      <c r="D54" s="1">
        <v>0.43</v>
      </c>
      <c r="E54">
        <v>5</v>
      </c>
      <c r="F54">
        <v>3</v>
      </c>
      <c r="G54" s="3">
        <f t="shared" si="1"/>
        <v>390</v>
      </c>
      <c r="H54" t="str" cm="1">
        <f t="array" ref="H54">IF(F53="","",_xlfn.IFS(F53&lt;3,"Poor",F53&lt;4,"Average",F53&gt;=4,"Excellent"))</f>
        <v>Poor</v>
      </c>
      <c r="I54" s="4" t="str" cm="1">
        <f t="array" ref="I54">_xlfn.IFS(D53&lt;=20%,"Low Disount",D53&lt;=40%,"Medium Discount",D53&gt;40%,"High Discount")</f>
        <v>High Discount</v>
      </c>
    </row>
    <row r="55" spans="1:12" x14ac:dyDescent="0.3">
      <c r="A55" t="s">
        <v>80</v>
      </c>
      <c r="B55" s="3">
        <v>690</v>
      </c>
      <c r="C55" s="3">
        <v>1200</v>
      </c>
      <c r="D55" s="1">
        <v>0.43</v>
      </c>
      <c r="G55" s="3">
        <f t="shared" si="1"/>
        <v>510</v>
      </c>
      <c r="H55" t="str" cm="1">
        <f t="array" ref="H55">IF(F54="","",_xlfn.IFS(F54&lt;3,"Poor",F54&lt;4,"Average",F54&gt;=4,"Excellent"))</f>
        <v>Average</v>
      </c>
      <c r="I55" s="4" t="str" cm="1">
        <f t="array" ref="I55">_xlfn.IFS(D54&lt;=20%,"Low Disount",D54&lt;=40%,"Medium Discount",D54&gt;40%,"High Discount")</f>
        <v>High Discount</v>
      </c>
    </row>
    <row r="56" spans="1:12" x14ac:dyDescent="0.3">
      <c r="A56" t="s">
        <v>92</v>
      </c>
      <c r="B56" s="3">
        <v>630</v>
      </c>
      <c r="C56" s="3">
        <v>1100</v>
      </c>
      <c r="D56" s="1">
        <v>0.43</v>
      </c>
      <c r="G56" s="3">
        <f t="shared" si="1"/>
        <v>470</v>
      </c>
      <c r="H56" t="str" cm="1">
        <f t="array" ref="H56">IF(F55="","",_xlfn.IFS(F55&lt;3,"Poor",F55&lt;4,"Average",F55&gt;=4,"Excellent"))</f>
        <v/>
      </c>
      <c r="I56" s="4" t="str" cm="1">
        <f t="array" ref="I56">_xlfn.IFS(D55&lt;=20%,"Low Disount",D55&lt;=40%,"Medium Discount",D55&gt;40%,"High Discount")</f>
        <v>High Discount</v>
      </c>
    </row>
    <row r="57" spans="1:12" x14ac:dyDescent="0.3">
      <c r="A57" t="s">
        <v>19</v>
      </c>
      <c r="B57" s="3">
        <v>501</v>
      </c>
      <c r="C57" s="3">
        <v>860</v>
      </c>
      <c r="D57" s="1">
        <v>0.42</v>
      </c>
      <c r="E57">
        <v>6</v>
      </c>
      <c r="F57">
        <v>4.5</v>
      </c>
      <c r="G57" s="3">
        <f t="shared" si="1"/>
        <v>359</v>
      </c>
      <c r="H57" t="str" cm="1">
        <f t="array" ref="H57">IF(F56="","",_xlfn.IFS(F56&lt;3,"Poor",F56&lt;4,"Average",F56&gt;=4,"Excellent"))</f>
        <v/>
      </c>
      <c r="I57" s="4" t="str" cm="1">
        <f t="array" ref="I57">_xlfn.IFS(D56&lt;=20%,"Low Disount",D56&lt;=40%,"Medium Discount",D56&gt;40%,"High Discount")</f>
        <v>High Discount</v>
      </c>
    </row>
    <row r="58" spans="1:12" x14ac:dyDescent="0.3">
      <c r="A58" t="s">
        <v>27</v>
      </c>
      <c r="B58" s="3">
        <v>1860</v>
      </c>
      <c r="C58" s="3">
        <v>3220</v>
      </c>
      <c r="D58" s="1">
        <v>0.42</v>
      </c>
      <c r="G58" s="3">
        <f t="shared" si="1"/>
        <v>1360</v>
      </c>
      <c r="H58" t="str" cm="1">
        <f t="array" ref="H58">IF(F57="","",_xlfn.IFS(F57&lt;3,"Poor",F57&lt;4,"Average",F57&gt;=4,"Excellent"))</f>
        <v>Excellent</v>
      </c>
      <c r="I58" s="4" t="str" cm="1">
        <f t="array" ref="I58">_xlfn.IFS(D57&lt;=20%,"Low Disount",D57&lt;=40%,"Medium Discount",D57&gt;40%,"High Discount")</f>
        <v>High Discount</v>
      </c>
    </row>
    <row r="59" spans="1:12" x14ac:dyDescent="0.3">
      <c r="A59" t="s">
        <v>103</v>
      </c>
      <c r="B59" s="3">
        <v>1080</v>
      </c>
      <c r="C59" s="3">
        <v>1874</v>
      </c>
      <c r="D59" s="1">
        <v>0.42</v>
      </c>
      <c r="G59" s="3">
        <f t="shared" si="1"/>
        <v>794</v>
      </c>
      <c r="H59" t="str" cm="1">
        <f t="array" ref="H59">IF(F58="","",_xlfn.IFS(F58&lt;3,"Poor",F58&lt;4,"Average",F58&gt;=4,"Excellent"))</f>
        <v/>
      </c>
      <c r="I59" s="4" t="str" cm="1">
        <f t="array" ref="I59">_xlfn.IFS(D58&lt;=20%,"Low Disount",D58&lt;=40%,"Medium Discount",D58&gt;40%,"High Discount")</f>
        <v>High Discount</v>
      </c>
    </row>
    <row r="60" spans="1:12" x14ac:dyDescent="0.3">
      <c r="A60" t="s">
        <v>48</v>
      </c>
      <c r="B60" s="3">
        <v>610</v>
      </c>
      <c r="C60" s="3">
        <v>1060</v>
      </c>
      <c r="D60" s="1">
        <v>0.42</v>
      </c>
      <c r="G60" s="3">
        <f t="shared" si="1"/>
        <v>450</v>
      </c>
      <c r="H60" t="str" cm="1">
        <f t="array" ref="H60">IF(F59="","",_xlfn.IFS(F59&lt;3,"Poor",F59&lt;4,"Average",F59&gt;=4,"Excellent"))</f>
        <v/>
      </c>
      <c r="I60" s="4" t="str" cm="1">
        <f t="array" ref="I60">_xlfn.IFS(D59&lt;=20%,"Low Disount",D59&lt;=40%,"Medium Discount",D59&gt;40%,"High Discount")</f>
        <v>High Discount</v>
      </c>
    </row>
    <row r="61" spans="1:12" x14ac:dyDescent="0.3">
      <c r="A61" t="s">
        <v>43</v>
      </c>
      <c r="B61" s="3">
        <v>389</v>
      </c>
      <c r="C61" s="3">
        <v>656</v>
      </c>
      <c r="D61" s="1">
        <v>0.41</v>
      </c>
      <c r="E61">
        <v>36</v>
      </c>
      <c r="F61">
        <v>4.3</v>
      </c>
      <c r="G61" s="3">
        <f t="shared" si="1"/>
        <v>267</v>
      </c>
      <c r="H61" t="str" cm="1">
        <f t="array" ref="H61">IF(F60="","",_xlfn.IFS(F60&lt;3,"Poor",F60&lt;4,"Average",F60&gt;=4,"Excellent"))</f>
        <v/>
      </c>
      <c r="I61" s="4" t="str" cm="1">
        <f t="array" ref="I61">_xlfn.IFS(D60&lt;=20%,"Low Disount",D60&lt;=40%,"Medium Discount",D60&gt;40%,"High Discount")</f>
        <v>High Discount</v>
      </c>
    </row>
    <row r="62" spans="1:12" x14ac:dyDescent="0.3">
      <c r="A62" t="s">
        <v>105</v>
      </c>
      <c r="B62" s="3">
        <v>1420</v>
      </c>
      <c r="C62" s="3">
        <v>2420</v>
      </c>
      <c r="D62" s="1">
        <v>0.41</v>
      </c>
      <c r="G62" s="3">
        <f t="shared" si="1"/>
        <v>1000</v>
      </c>
      <c r="H62" t="str" cm="1">
        <f t="array" ref="H62">IF(F61="","",_xlfn.IFS(F61&lt;3,"Poor",F61&lt;4,"Average",F61&gt;=4,"Excellent"))</f>
        <v>Excellent</v>
      </c>
      <c r="I62" s="4" t="str" cm="1">
        <f t="array" ref="I62">_xlfn.IFS(D61&lt;=20%,"Low Disount",D61&lt;=40%,"Medium Discount",D61&gt;40%,"High Discount")</f>
        <v>High Discount</v>
      </c>
    </row>
    <row r="63" spans="1:12" x14ac:dyDescent="0.3">
      <c r="A63" t="s">
        <v>59</v>
      </c>
      <c r="B63" s="3">
        <v>799</v>
      </c>
      <c r="C63" s="3">
        <v>1343</v>
      </c>
      <c r="D63" s="1">
        <v>0.41</v>
      </c>
      <c r="G63" s="3">
        <f t="shared" si="1"/>
        <v>544</v>
      </c>
      <c r="H63" t="str" cm="1">
        <f t="array" ref="H63">IF(F62="","",_xlfn.IFS(F62&lt;3,"Poor",F62&lt;4,"Average",F62&gt;=4,"Excellent"))</f>
        <v/>
      </c>
      <c r="I63" s="4" t="str" cm="1">
        <f t="array" ref="I63">_xlfn.IFS(D62&lt;=20%,"Low Disount",D62&lt;=40%,"Medium Discount",D62&gt;40%,"High Discount")</f>
        <v>High Discount</v>
      </c>
    </row>
    <row r="64" spans="1:12" x14ac:dyDescent="0.3">
      <c r="A64" t="s">
        <v>41</v>
      </c>
      <c r="B64" s="3">
        <v>1620</v>
      </c>
      <c r="C64" s="3">
        <v>2690</v>
      </c>
      <c r="D64" s="1">
        <v>0.4</v>
      </c>
      <c r="E64">
        <v>1</v>
      </c>
      <c r="F64">
        <v>5</v>
      </c>
      <c r="G64" s="3">
        <f t="shared" si="1"/>
        <v>1070</v>
      </c>
      <c r="H64" t="str" cm="1">
        <f t="array" ref="H64">IF(F63="","",_xlfn.IFS(F63&lt;3,"Poor",F63&lt;4,"Average",F63&gt;=4,"Excellent"))</f>
        <v/>
      </c>
      <c r="I64" s="4" t="str" cm="1">
        <f t="array" ref="I64">_xlfn.IFS(D63&lt;=20%,"Low Disount",D63&lt;=40%,"Medium Discount",D63&gt;40%,"High Discount")</f>
        <v>High Discount</v>
      </c>
    </row>
    <row r="65" spans="1:9" x14ac:dyDescent="0.3">
      <c r="A65" t="s">
        <v>72</v>
      </c>
      <c r="B65" s="3">
        <v>3750</v>
      </c>
      <c r="C65" s="3">
        <v>6143</v>
      </c>
      <c r="D65" s="1">
        <v>0.39</v>
      </c>
      <c r="E65">
        <v>5</v>
      </c>
      <c r="F65">
        <v>3</v>
      </c>
      <c r="G65" s="3">
        <f t="shared" si="1"/>
        <v>2393</v>
      </c>
      <c r="H65" t="str" cm="1">
        <f t="array" ref="H65">IF(F64="","",_xlfn.IFS(F64&lt;3,"Poor",F64&lt;4,"Average",F64&gt;=4,"Excellent"))</f>
        <v>Excellent</v>
      </c>
      <c r="I65" s="4" t="str" cm="1">
        <f t="array" ref="I65">_xlfn.IFS(D64&lt;=20%,"Low Disount",D64&lt;=40%,"Medium Discount",D64&gt;40%,"High Discount")</f>
        <v>Medium Discount</v>
      </c>
    </row>
    <row r="66" spans="1:9" x14ac:dyDescent="0.3">
      <c r="A66" t="s">
        <v>44</v>
      </c>
      <c r="B66" s="3">
        <v>1800</v>
      </c>
      <c r="C66" s="3">
        <v>2700</v>
      </c>
      <c r="D66" s="1">
        <v>0.38</v>
      </c>
      <c r="E66">
        <v>2</v>
      </c>
      <c r="F66">
        <v>4.5</v>
      </c>
      <c r="G66" s="3">
        <f t="shared" ref="G66:G97" si="2">(C66-B66)</f>
        <v>900</v>
      </c>
      <c r="H66" t="str" cm="1">
        <f t="array" ref="H66">IF(F65="","",_xlfn.IFS(F65&lt;3,"Poor",F65&lt;4,"Average",F65&gt;=4,"Excellent"))</f>
        <v>Average</v>
      </c>
      <c r="I66" s="4" t="str" cm="1">
        <f t="array" ref="I66">_xlfn.IFS(D65&lt;=20%,"Low Disount",D65&lt;=40%,"Medium Discount",D65&gt;40%,"High Discount")</f>
        <v>Medium Discount</v>
      </c>
    </row>
    <row r="67" spans="1:9" x14ac:dyDescent="0.3">
      <c r="A67" t="s">
        <v>6</v>
      </c>
      <c r="B67" s="3">
        <v>950</v>
      </c>
      <c r="C67" s="3">
        <v>1525</v>
      </c>
      <c r="D67" s="1">
        <v>0.38</v>
      </c>
      <c r="E67">
        <v>2</v>
      </c>
      <c r="F67">
        <v>4.5</v>
      </c>
      <c r="G67" s="3">
        <f t="shared" si="2"/>
        <v>575</v>
      </c>
      <c r="H67" t="str" cm="1">
        <f t="array" ref="H67">IF(F66="","",_xlfn.IFS(F66&lt;3,"Poor",F66&lt;4,"Average",F66&gt;=4,"Excellent"))</f>
        <v>Excellent</v>
      </c>
      <c r="I67" s="4" t="str" cm="1">
        <f t="array" ref="I67">_xlfn.IFS(D66&lt;=20%,"Low Disount",D66&lt;=40%,"Medium Discount",D66&gt;40%,"High Discount")</f>
        <v>Medium Discount</v>
      </c>
    </row>
    <row r="68" spans="1:9" x14ac:dyDescent="0.3">
      <c r="A68" t="s">
        <v>53</v>
      </c>
      <c r="B68" s="3">
        <v>1200</v>
      </c>
      <c r="C68" s="3">
        <v>1950</v>
      </c>
      <c r="D68" s="1">
        <v>0.38</v>
      </c>
      <c r="G68" s="3">
        <f t="shared" si="2"/>
        <v>750</v>
      </c>
      <c r="H68" t="str" cm="1">
        <f t="array" ref="H68">IF(F67="","",_xlfn.IFS(F67&lt;3,"Poor",F67&lt;4,"Average",F67&gt;=4,"Excellent"))</f>
        <v>Excellent</v>
      </c>
      <c r="I68" s="4" t="str" cm="1">
        <f t="array" ref="I68">_xlfn.IFS(D67&lt;=20%,"Low Disount",D67&lt;=40%,"Medium Discount",D67&gt;40%,"High Discount")</f>
        <v>Medium Discount</v>
      </c>
    </row>
    <row r="69" spans="1:9" x14ac:dyDescent="0.3">
      <c r="A69" t="s">
        <v>45</v>
      </c>
      <c r="B69" s="3">
        <v>2750</v>
      </c>
      <c r="C69" s="3">
        <v>4471</v>
      </c>
      <c r="D69" s="1">
        <v>0.38</v>
      </c>
      <c r="G69" s="3">
        <f t="shared" si="2"/>
        <v>1721</v>
      </c>
      <c r="H69" t="str" cm="1">
        <f t="array" ref="H69">IF(F68="","",_xlfn.IFS(F68&lt;3,"Poor",F68&lt;4,"Average",F68&gt;=4,"Excellent"))</f>
        <v/>
      </c>
      <c r="I69" s="4" t="str" cm="1">
        <f t="array" ref="I69">_xlfn.IFS(D68&lt;=20%,"Low Disount",D68&lt;=40%,"Medium Discount",D68&gt;40%,"High Discount")</f>
        <v>Medium Discount</v>
      </c>
    </row>
    <row r="70" spans="1:9" x14ac:dyDescent="0.3">
      <c r="A70" t="s">
        <v>13</v>
      </c>
      <c r="B70" s="3">
        <v>988</v>
      </c>
      <c r="C70" s="3">
        <v>1580</v>
      </c>
      <c r="D70" s="1">
        <v>0.37</v>
      </c>
      <c r="E70">
        <v>2</v>
      </c>
      <c r="F70">
        <v>4</v>
      </c>
      <c r="G70" s="3">
        <f t="shared" si="2"/>
        <v>592</v>
      </c>
      <c r="H70" t="str" cm="1">
        <f t="array" ref="H70">IF(F69="","",_xlfn.IFS(F69&lt;3,"Poor",F69&lt;4,"Average",F69&gt;=4,"Excellent"))</f>
        <v/>
      </c>
      <c r="I70" s="4" t="str" cm="1">
        <f t="array" ref="I70">_xlfn.IFS(D69&lt;=20%,"Low Disount",D69&lt;=40%,"Medium Discount",D69&gt;40%,"High Discount")</f>
        <v>Medium Discount</v>
      </c>
    </row>
    <row r="71" spans="1:9" x14ac:dyDescent="0.3">
      <c r="A71" t="s">
        <v>9</v>
      </c>
      <c r="B71" s="3">
        <v>1580</v>
      </c>
      <c r="C71" s="3">
        <v>2499</v>
      </c>
      <c r="D71" s="1">
        <v>0.37</v>
      </c>
      <c r="E71">
        <v>7</v>
      </c>
      <c r="F71">
        <v>4.7</v>
      </c>
      <c r="G71" s="3">
        <f t="shared" si="2"/>
        <v>919</v>
      </c>
      <c r="H71" t="str" cm="1">
        <f t="array" ref="H71">IF(F70="","",_xlfn.IFS(F70&lt;3,"Poor",F70&lt;4,"Average",F70&gt;=4,"Excellent"))</f>
        <v>Excellent</v>
      </c>
      <c r="I71" s="4" t="str" cm="1">
        <f t="array" ref="I71">_xlfn.IFS(D70&lt;=20%,"Low Disount",D70&lt;=40%,"Medium Discount",D70&gt;40%,"High Discount")</f>
        <v>Medium Discount</v>
      </c>
    </row>
    <row r="72" spans="1:9" x14ac:dyDescent="0.3">
      <c r="A72" t="s">
        <v>85</v>
      </c>
      <c r="B72" s="3">
        <v>1460</v>
      </c>
      <c r="C72" s="3">
        <v>2290</v>
      </c>
      <c r="D72" s="1">
        <v>0.36</v>
      </c>
      <c r="G72" s="3">
        <f t="shared" si="2"/>
        <v>830</v>
      </c>
      <c r="H72" t="str" cm="1">
        <f t="array" ref="H72">IF(F71="","",_xlfn.IFS(F71&lt;3,"Poor",F71&lt;4,"Average",F71&gt;=4,"Excellent"))</f>
        <v>Excellent</v>
      </c>
      <c r="I72" s="4" t="str" cm="1">
        <f t="array" ref="I72">_xlfn.IFS(D71&lt;=20%,"Low Disount",D71&lt;=40%,"Medium Discount",D71&gt;40%,"High Discount")</f>
        <v>Medium Discount</v>
      </c>
    </row>
    <row r="73" spans="1:9" x14ac:dyDescent="0.3">
      <c r="A73" t="s">
        <v>28</v>
      </c>
      <c r="B73" s="3">
        <v>880</v>
      </c>
      <c r="C73" s="3">
        <v>1350</v>
      </c>
      <c r="D73" s="1">
        <v>0.35</v>
      </c>
      <c r="E73">
        <v>6</v>
      </c>
      <c r="F73">
        <v>4</v>
      </c>
      <c r="G73" s="3">
        <f t="shared" si="2"/>
        <v>470</v>
      </c>
      <c r="H73" t="str" cm="1">
        <f t="array" ref="H73">IF(F72="","",_xlfn.IFS(F72&lt;3,"Poor",F72&lt;4,"Average",F72&gt;=4,"Excellent"))</f>
        <v/>
      </c>
      <c r="I73" s="4" t="str" cm="1">
        <f t="array" ref="I73">_xlfn.IFS(D72&lt;=20%,"Low Disount",D72&lt;=40%,"Medium Discount",D72&gt;40%,"High Discount")</f>
        <v>Medium Discount</v>
      </c>
    </row>
    <row r="74" spans="1:9" x14ac:dyDescent="0.3">
      <c r="A74" t="s">
        <v>31</v>
      </c>
      <c r="B74" s="3">
        <v>420</v>
      </c>
      <c r="C74" s="3">
        <v>647</v>
      </c>
      <c r="D74" s="1">
        <v>0.35</v>
      </c>
      <c r="E74">
        <v>49</v>
      </c>
      <c r="F74">
        <v>4.5999999999999996</v>
      </c>
      <c r="G74" s="3">
        <f t="shared" si="2"/>
        <v>227</v>
      </c>
      <c r="H74" t="str" cm="1">
        <f t="array" ref="H74">IF(F73="","",_xlfn.IFS(F73&lt;3,"Poor",F73&lt;4,"Average",F73&gt;=4,"Excellent"))</f>
        <v>Excellent</v>
      </c>
      <c r="I74" s="4" t="str" cm="1">
        <f t="array" ref="I74">_xlfn.IFS(D73&lt;=20%,"Low Disount",D73&lt;=40%,"Medium Discount",D73&gt;40%,"High Discount")</f>
        <v>Medium Discount</v>
      </c>
    </row>
    <row r="75" spans="1:9" x14ac:dyDescent="0.3">
      <c r="A75" t="s">
        <v>17</v>
      </c>
      <c r="B75" s="3">
        <v>990</v>
      </c>
      <c r="C75" s="3">
        <v>1500</v>
      </c>
      <c r="D75" s="1">
        <v>0.34</v>
      </c>
      <c r="E75">
        <v>39</v>
      </c>
      <c r="F75">
        <v>4.7</v>
      </c>
      <c r="G75" s="3">
        <f t="shared" si="2"/>
        <v>510</v>
      </c>
      <c r="H75" t="str" cm="1">
        <f t="array" ref="H75">IF(F74="","",_xlfn.IFS(F74&lt;3,"Poor",F74&lt;4,"Average",F74&gt;=4,"Excellent"))</f>
        <v>Excellent</v>
      </c>
      <c r="I75" s="4" t="str" cm="1">
        <f t="array" ref="I75">_xlfn.IFS(D74&lt;=20%,"Low Disount",D74&lt;=40%,"Medium Discount",D74&gt;40%,"High Discount")</f>
        <v>Medium Discount</v>
      </c>
    </row>
    <row r="76" spans="1:9" x14ac:dyDescent="0.3">
      <c r="A76" t="s">
        <v>37</v>
      </c>
      <c r="B76" s="3">
        <v>980</v>
      </c>
      <c r="C76" s="3">
        <v>1490</v>
      </c>
      <c r="D76" s="1">
        <v>0.34</v>
      </c>
      <c r="E76">
        <v>12</v>
      </c>
      <c r="F76">
        <v>4.7</v>
      </c>
      <c r="G76" s="3">
        <f t="shared" si="2"/>
        <v>510</v>
      </c>
      <c r="H76" t="str" cm="1">
        <f t="array" ref="H76">IF(F75="","",_xlfn.IFS(F75&lt;3,"Poor",F75&lt;4,"Average",F75&gt;=4,"Excellent"))</f>
        <v>Excellent</v>
      </c>
      <c r="I76" s="4" t="str" cm="1">
        <f t="array" ref="I76">_xlfn.IFS(D75&lt;=20%,"Low Disount",D75&lt;=40%,"Medium Discount",D75&gt;40%,"High Discount")</f>
        <v>Medium Discount</v>
      </c>
    </row>
    <row r="77" spans="1:9" x14ac:dyDescent="0.3">
      <c r="A77" t="s">
        <v>109</v>
      </c>
      <c r="B77" s="3">
        <v>1190</v>
      </c>
      <c r="C77" s="3">
        <v>1810</v>
      </c>
      <c r="D77" s="1">
        <v>0.34</v>
      </c>
      <c r="G77" s="3">
        <f t="shared" si="2"/>
        <v>620</v>
      </c>
      <c r="H77" t="str" cm="1">
        <f t="array" ref="H77">IF(F76="","",_xlfn.IFS(F76&lt;3,"Poor",F76&lt;4,"Average",F76&gt;=4,"Excellent"))</f>
        <v>Excellent</v>
      </c>
      <c r="I77" s="4" t="str" cm="1">
        <f t="array" ref="I77">_xlfn.IFS(D76&lt;=20%,"Low Disount",D76&lt;=40%,"Medium Discount",D76&gt;40%,"High Discount")</f>
        <v>Medium Discount</v>
      </c>
    </row>
    <row r="78" spans="1:9" x14ac:dyDescent="0.3">
      <c r="A78" t="s">
        <v>108</v>
      </c>
      <c r="B78" s="3">
        <v>1150</v>
      </c>
      <c r="C78" s="3">
        <v>1737</v>
      </c>
      <c r="D78" s="1">
        <v>0.34</v>
      </c>
      <c r="G78" s="3">
        <f t="shared" si="2"/>
        <v>587</v>
      </c>
      <c r="H78" t="str" cm="1">
        <f t="array" ref="H78">IF(F77="","",_xlfn.IFS(F77&lt;3,"Poor",F77&lt;4,"Average",F77&gt;=4,"Excellent"))</f>
        <v/>
      </c>
      <c r="I78" s="4" t="str" cm="1">
        <f t="array" ref="I78">_xlfn.IFS(D77&lt;=20%,"Low Disount",D77&lt;=40%,"Medium Discount",D77&gt;40%,"High Discount")</f>
        <v>Medium Discount</v>
      </c>
    </row>
    <row r="79" spans="1:9" x14ac:dyDescent="0.3">
      <c r="A79" t="s">
        <v>20</v>
      </c>
      <c r="B79" s="3">
        <v>1680</v>
      </c>
      <c r="C79" s="3">
        <v>2499</v>
      </c>
      <c r="D79" s="1">
        <v>0.33</v>
      </c>
      <c r="E79">
        <v>9</v>
      </c>
      <c r="F79">
        <v>4.2</v>
      </c>
      <c r="G79" s="3">
        <f t="shared" si="2"/>
        <v>819</v>
      </c>
      <c r="H79" t="str" cm="1">
        <f t="array" ref="H79">IF(F78="","",_xlfn.IFS(F78&lt;3,"Poor",F78&lt;4,"Average",F78&gt;=4,"Excellent"))</f>
        <v/>
      </c>
      <c r="I79" s="4" t="str" cm="1">
        <f t="array" ref="I79">_xlfn.IFS(D78&lt;=20%,"Low Disount",D78&lt;=40%,"Medium Discount",D78&gt;40%,"High Discount")</f>
        <v>Medium Discount</v>
      </c>
    </row>
    <row r="80" spans="1:9" x14ac:dyDescent="0.3">
      <c r="A80" t="s">
        <v>51</v>
      </c>
      <c r="B80" s="3">
        <v>1190</v>
      </c>
      <c r="C80" s="3">
        <v>1785</v>
      </c>
      <c r="D80" s="1">
        <v>0.33</v>
      </c>
      <c r="G80" s="3">
        <f t="shared" si="2"/>
        <v>595</v>
      </c>
      <c r="H80" t="str" cm="1">
        <f t="array" ref="H80">IF(F79="","",_xlfn.IFS(F79&lt;3,"Poor",F79&lt;4,"Average",F79&gt;=4,"Excellent"))</f>
        <v>Excellent</v>
      </c>
      <c r="I80" s="4" t="str" cm="1">
        <f t="array" ref="I80">_xlfn.IFS(D79&lt;=20%,"Low Disount",D79&lt;=40%,"Medium Discount",D79&gt;40%,"High Discount")</f>
        <v>Medium Discount</v>
      </c>
    </row>
    <row r="81" spans="1:9" x14ac:dyDescent="0.3">
      <c r="A81" t="s">
        <v>33</v>
      </c>
      <c r="B81" s="3">
        <v>1350</v>
      </c>
      <c r="C81" s="3">
        <v>1990</v>
      </c>
      <c r="D81" s="1">
        <v>0.32</v>
      </c>
      <c r="E81">
        <v>13</v>
      </c>
      <c r="F81">
        <v>3.8</v>
      </c>
      <c r="G81" s="3">
        <f t="shared" si="2"/>
        <v>640</v>
      </c>
      <c r="H81" t="str" cm="1">
        <f t="array" ref="H81">IF(F80="","",_xlfn.IFS(F80&lt;3,"Poor",F80&lt;4,"Average",F80&gt;=4,"Excellent"))</f>
        <v/>
      </c>
      <c r="I81" s="4" t="str" cm="1">
        <f t="array" ref="I81">_xlfn.IFS(D80&lt;=20%,"Low Disount",D80&lt;=40%,"Medium Discount",D80&gt;40%,"High Discount")</f>
        <v>Medium Discount</v>
      </c>
    </row>
    <row r="82" spans="1:9" x14ac:dyDescent="0.3">
      <c r="A82" t="s">
        <v>34</v>
      </c>
      <c r="B82" s="3">
        <v>1758</v>
      </c>
      <c r="C82" s="3">
        <v>2499</v>
      </c>
      <c r="D82" s="1">
        <v>0.3</v>
      </c>
      <c r="E82">
        <v>20</v>
      </c>
      <c r="F82">
        <v>4.0999999999999996</v>
      </c>
      <c r="G82" s="3">
        <f t="shared" si="2"/>
        <v>741</v>
      </c>
      <c r="H82" t="str" cm="1">
        <f t="array" ref="H82">IF(F81="","",_xlfn.IFS(F81&lt;3,"Poor",F81&lt;4,"Average",F81&gt;=4,"Excellent"))</f>
        <v>Average</v>
      </c>
      <c r="I82" s="4" t="str" cm="1">
        <f t="array" ref="I82">_xlfn.IFS(D81&lt;=20%,"Low Disount",D81&lt;=40%,"Medium Discount",D81&gt;40%,"High Discount")</f>
        <v>Medium Discount</v>
      </c>
    </row>
    <row r="83" spans="1:9" x14ac:dyDescent="0.3">
      <c r="A83" t="s">
        <v>74</v>
      </c>
      <c r="B83" s="3">
        <v>2300</v>
      </c>
      <c r="C83" s="3">
        <v>3240</v>
      </c>
      <c r="D83" s="1">
        <v>0.28999999999999998</v>
      </c>
      <c r="E83">
        <v>5</v>
      </c>
      <c r="F83">
        <v>3</v>
      </c>
      <c r="G83" s="3">
        <f t="shared" si="2"/>
        <v>940</v>
      </c>
      <c r="H83" t="str" cm="1">
        <f t="array" ref="H83">IF(F82="","",_xlfn.IFS(F82&lt;3,"Poor",F82&lt;4,"Average",F82&gt;=4,"Excellent"))</f>
        <v>Excellent</v>
      </c>
      <c r="I83" s="4" t="str" cm="1">
        <f t="array" ref="I83">_xlfn.IFS(D82&lt;=20%,"Low Disount",D82&lt;=40%,"Medium Discount",D82&gt;40%,"High Discount")</f>
        <v>Medium Discount</v>
      </c>
    </row>
    <row r="84" spans="1:9" x14ac:dyDescent="0.3">
      <c r="A84" t="s">
        <v>40</v>
      </c>
      <c r="B84" s="3">
        <v>1980</v>
      </c>
      <c r="C84" s="3">
        <v>2699</v>
      </c>
      <c r="D84" s="1">
        <v>0.27</v>
      </c>
      <c r="E84">
        <v>32</v>
      </c>
      <c r="F84">
        <v>4.5</v>
      </c>
      <c r="G84" s="3">
        <f t="shared" si="2"/>
        <v>719</v>
      </c>
      <c r="H84" t="str" cm="1">
        <f t="array" ref="H84">IF(F83="","",_xlfn.IFS(F83&lt;3,"Poor",F83&lt;4,"Average",F83&gt;=4,"Excellent"))</f>
        <v>Average</v>
      </c>
      <c r="I84" s="4" t="str" cm="1">
        <f t="array" ref="I84">_xlfn.IFS(D83&lt;=20%,"Low Disount",D83&lt;=40%,"Medium Discount",D83&gt;40%,"High Discount")</f>
        <v>Medium Discount</v>
      </c>
    </row>
    <row r="85" spans="1:9" x14ac:dyDescent="0.3">
      <c r="A85" t="s">
        <v>39</v>
      </c>
      <c r="B85" s="3">
        <v>1940</v>
      </c>
      <c r="C85" s="3">
        <v>2650</v>
      </c>
      <c r="D85" s="1">
        <v>0.27</v>
      </c>
      <c r="E85">
        <v>20</v>
      </c>
      <c r="F85">
        <v>4.7</v>
      </c>
      <c r="G85" s="3">
        <f t="shared" si="2"/>
        <v>710</v>
      </c>
      <c r="H85" t="str" cm="1">
        <f t="array" ref="H85">IF(F84="","",_xlfn.IFS(F84&lt;3,"Poor",F84&lt;4,"Average",F84&gt;=4,"Excellent"))</f>
        <v>Excellent</v>
      </c>
      <c r="I85" s="4" t="str" cm="1">
        <f t="array" ref="I85">_xlfn.IFS(D84&lt;=20%,"Low Disount",D84&lt;=40%,"Medium Discount",D84&gt;40%,"High Discount")</f>
        <v>Medium Discount</v>
      </c>
    </row>
    <row r="86" spans="1:9" x14ac:dyDescent="0.3">
      <c r="A86" t="s">
        <v>63</v>
      </c>
      <c r="B86" s="3">
        <v>2799</v>
      </c>
      <c r="C86" s="3">
        <v>3810</v>
      </c>
      <c r="D86" s="1">
        <v>0.27</v>
      </c>
      <c r="G86" s="3">
        <f t="shared" si="2"/>
        <v>1011</v>
      </c>
      <c r="H86" t="str" cm="1">
        <f t="array" ref="H86">IF(F85="","",_xlfn.IFS(F85&lt;3,"Poor",F85&lt;4,"Average",F85&gt;=4,"Excellent"))</f>
        <v>Excellent</v>
      </c>
      <c r="I86" s="4" t="str" cm="1">
        <f t="array" ref="I86">_xlfn.IFS(D85&lt;=20%,"Low Disount",D85&lt;=40%,"Medium Discount",D85&gt;40%,"High Discount")</f>
        <v>Medium Discount</v>
      </c>
    </row>
    <row r="87" spans="1:9" x14ac:dyDescent="0.3">
      <c r="A87" t="s">
        <v>10</v>
      </c>
      <c r="B87" s="3">
        <v>1740</v>
      </c>
      <c r="C87" s="3">
        <v>2356</v>
      </c>
      <c r="D87" s="1">
        <v>0.26</v>
      </c>
      <c r="E87">
        <v>5</v>
      </c>
      <c r="F87">
        <v>4.8</v>
      </c>
      <c r="G87" s="3">
        <f t="shared" si="2"/>
        <v>616</v>
      </c>
      <c r="H87" t="str" cm="1">
        <f t="array" ref="H87">IF(F86="","",_xlfn.IFS(F86&lt;3,"Poor",F86&lt;4,"Average",F86&gt;=4,"Excellent"))</f>
        <v/>
      </c>
      <c r="I87" s="4" t="str" cm="1">
        <f t="array" ref="I87">_xlfn.IFS(D86&lt;=20%,"Low Disount",D86&lt;=40%,"Medium Discount",D86&gt;40%,"High Discount")</f>
        <v>Medium Discount</v>
      </c>
    </row>
    <row r="88" spans="1:9" x14ac:dyDescent="0.3">
      <c r="A88" t="s">
        <v>8</v>
      </c>
      <c r="B88" s="3">
        <v>2199</v>
      </c>
      <c r="C88" s="3">
        <v>2923</v>
      </c>
      <c r="D88" s="1">
        <v>0.25</v>
      </c>
      <c r="E88">
        <v>24</v>
      </c>
      <c r="F88">
        <v>4.5999999999999996</v>
      </c>
      <c r="G88" s="3">
        <f t="shared" si="2"/>
        <v>724</v>
      </c>
      <c r="H88" t="str" cm="1">
        <f t="array" ref="H88">IF(F87="","",_xlfn.IFS(F87&lt;3,"Poor",F87&lt;4,"Average",F87&gt;=4,"Excellent"))</f>
        <v>Excellent</v>
      </c>
      <c r="I88" s="4" t="str" cm="1">
        <f t="array" ref="I88">_xlfn.IFS(D87&lt;=20%,"Low Disount",D87&lt;=40%,"Medium Discount",D87&gt;40%,"High Discount")</f>
        <v>Medium Discount</v>
      </c>
    </row>
    <row r="89" spans="1:9" x14ac:dyDescent="0.3">
      <c r="A89" t="s">
        <v>12</v>
      </c>
      <c r="B89" s="3">
        <v>2319</v>
      </c>
      <c r="C89" s="3">
        <v>3032</v>
      </c>
      <c r="D89" s="1">
        <v>0.24</v>
      </c>
      <c r="E89">
        <v>55</v>
      </c>
      <c r="F89">
        <v>4.5999999999999996</v>
      </c>
      <c r="G89" s="3">
        <f t="shared" si="2"/>
        <v>713</v>
      </c>
      <c r="H89" t="str" cm="1">
        <f t="array" ref="H89">IF(F88="","",_xlfn.IFS(F88&lt;3,"Poor",F88&lt;4,"Average",F88&gt;=4,"Excellent"))</f>
        <v>Excellent</v>
      </c>
      <c r="I89" s="4" t="str" cm="1">
        <f t="array" ref="I89">_xlfn.IFS(D88&lt;=20%,"Low Disount",D88&lt;=40%,"Medium Discount",D88&gt;40%,"High Discount")</f>
        <v>Medium Discount</v>
      </c>
    </row>
    <row r="90" spans="1:9" x14ac:dyDescent="0.3">
      <c r="A90" t="s">
        <v>107</v>
      </c>
      <c r="B90" s="3">
        <v>198</v>
      </c>
      <c r="C90" s="3">
        <v>260</v>
      </c>
      <c r="D90" s="1">
        <v>0.24</v>
      </c>
      <c r="G90" s="3">
        <f t="shared" si="2"/>
        <v>62</v>
      </c>
      <c r="H90" t="str" cm="1">
        <f t="array" ref="H90">IF(F89="","",_xlfn.IFS(F89&lt;3,"Poor",F89&lt;4,"Average",F89&gt;=4,"Excellent"))</f>
        <v>Excellent</v>
      </c>
      <c r="I90" s="4" t="str" cm="1">
        <f t="array" ref="I90">_xlfn.IFS(D89&lt;=20%,"Low Disount",D89&lt;=40%,"Medium Discount",D89&gt;40%,"High Discount")</f>
        <v>Medium Discount</v>
      </c>
    </row>
    <row r="91" spans="1:9" x14ac:dyDescent="0.3">
      <c r="A91" t="s">
        <v>29</v>
      </c>
      <c r="B91" s="3">
        <v>1650</v>
      </c>
      <c r="C91" s="3">
        <v>2150</v>
      </c>
      <c r="D91" s="1">
        <v>0.23</v>
      </c>
      <c r="E91">
        <v>14</v>
      </c>
      <c r="F91">
        <v>4.4000000000000004</v>
      </c>
      <c r="G91" s="3">
        <f t="shared" si="2"/>
        <v>500</v>
      </c>
      <c r="H91" t="str" cm="1">
        <f t="array" ref="H91">IF(F90="","",_xlfn.IFS(F90&lt;3,"Poor",F90&lt;4,"Average",F90&gt;=4,"Excellent"))</f>
        <v/>
      </c>
      <c r="I91" s="4" t="str" cm="1">
        <f t="array" ref="I91">_xlfn.IFS(D90&lt;=20%,"Low Disount",D90&lt;=40%,"Medium Discount",D90&gt;40%,"High Discount")</f>
        <v>Medium Discount</v>
      </c>
    </row>
    <row r="92" spans="1:9" x14ac:dyDescent="0.3">
      <c r="A92" t="s">
        <v>69</v>
      </c>
      <c r="B92" s="3">
        <v>1220</v>
      </c>
      <c r="C92" s="3">
        <v>1555</v>
      </c>
      <c r="D92" s="1">
        <v>0.22</v>
      </c>
      <c r="E92">
        <v>16</v>
      </c>
      <c r="F92">
        <v>2.9</v>
      </c>
      <c r="G92" s="3">
        <f t="shared" si="2"/>
        <v>335</v>
      </c>
      <c r="H92" t="str" cm="1">
        <f t="array" ref="H92">IF(F91="","",_xlfn.IFS(F91&lt;3,"Poor",F91&lt;4,"Average",F91&gt;=4,"Excellent"))</f>
        <v>Excellent</v>
      </c>
      <c r="I92" s="4" t="str" cm="1">
        <f t="array" ref="I92">_xlfn.IFS(D91&lt;=20%,"Low Disount",D91&lt;=40%,"Medium Discount",D91&gt;40%,"High Discount")</f>
        <v>Medium Discount</v>
      </c>
    </row>
    <row r="93" spans="1:9" x14ac:dyDescent="0.3">
      <c r="A93" t="s">
        <v>57</v>
      </c>
      <c r="B93" s="3">
        <v>299</v>
      </c>
      <c r="C93" s="3">
        <v>384</v>
      </c>
      <c r="D93" s="1">
        <v>0.22</v>
      </c>
      <c r="G93" s="3">
        <f t="shared" si="2"/>
        <v>85</v>
      </c>
      <c r="H93" t="str" cm="1">
        <f t="array" ref="H93">IF(F92="","",_xlfn.IFS(F92&lt;3,"Poor",F92&lt;4,"Average",F92&gt;=4,"Excellent"))</f>
        <v>Poor</v>
      </c>
      <c r="I93" s="4" t="str" cm="1">
        <f t="array" ref="I93">_xlfn.IFS(D92&lt;=20%,"Low Disount",D92&lt;=40%,"Medium Discount",D92&gt;40%,"High Discount")</f>
        <v>Medium Discount</v>
      </c>
    </row>
    <row r="94" spans="1:9" x14ac:dyDescent="0.3">
      <c r="A94" t="s">
        <v>104</v>
      </c>
      <c r="B94" s="3">
        <v>3640</v>
      </c>
      <c r="C94" s="3">
        <v>4588</v>
      </c>
      <c r="D94" s="1">
        <v>0.21</v>
      </c>
      <c r="E94">
        <v>1</v>
      </c>
      <c r="F94">
        <v>5</v>
      </c>
      <c r="G94" s="3">
        <f t="shared" si="2"/>
        <v>948</v>
      </c>
      <c r="H94" t="str" cm="1">
        <f t="array" ref="H94">IF(F93="","",_xlfn.IFS(F93&lt;3,"Poor",F93&lt;4,"Average",F93&gt;=4,"Excellent"))</f>
        <v/>
      </c>
      <c r="I94" s="4" t="str" cm="1">
        <f t="array" ref="I94">_xlfn.IFS(D93&lt;=20%,"Low Disount",D93&lt;=40%,"Medium Discount",D93&gt;40%,"High Discount")</f>
        <v>Medium Discount</v>
      </c>
    </row>
    <row r="95" spans="1:9" x14ac:dyDescent="0.3">
      <c r="A95" t="s">
        <v>16</v>
      </c>
      <c r="B95" s="3">
        <v>799</v>
      </c>
      <c r="C95" s="3">
        <v>999</v>
      </c>
      <c r="D95" s="1">
        <v>0.2</v>
      </c>
      <c r="E95">
        <v>12</v>
      </c>
      <c r="F95">
        <v>4.0999999999999996</v>
      </c>
      <c r="G95" s="3">
        <f t="shared" si="2"/>
        <v>200</v>
      </c>
      <c r="H95" t="str" cm="1">
        <f t="array" ref="H95">IF(F94="","",_xlfn.IFS(F94&lt;3,"Poor",F94&lt;4,"Average",F94&gt;=4,"Excellent"))</f>
        <v>Excellent</v>
      </c>
      <c r="I95" s="4" t="str" cm="1">
        <f t="array" ref="I95">_xlfn.IFS(D94&lt;=20%,"Low Disount",D94&lt;=40%,"Medium Discount",D94&gt;40%,"High Discount")</f>
        <v>Medium Discount</v>
      </c>
    </row>
    <row r="96" spans="1:9" x14ac:dyDescent="0.3">
      <c r="A96" t="s">
        <v>24</v>
      </c>
      <c r="B96" s="3">
        <v>2999</v>
      </c>
      <c r="C96" s="3">
        <v>3699</v>
      </c>
      <c r="D96" s="1">
        <v>0.19</v>
      </c>
      <c r="E96">
        <v>5</v>
      </c>
      <c r="F96">
        <v>4.5999999999999996</v>
      </c>
      <c r="G96" s="3">
        <f t="shared" si="2"/>
        <v>700</v>
      </c>
      <c r="H96" t="str" cm="1">
        <f t="array" ref="H96">IF(F95="","",_xlfn.IFS(F95&lt;3,"Poor",F95&lt;4,"Average",F95&gt;=4,"Excellent"))</f>
        <v>Excellent</v>
      </c>
      <c r="I96" s="4" t="str" cm="1">
        <f t="array" ref="I96">_xlfn.IFS(D95&lt;=20%,"Low Disount",D95&lt;=40%,"Medium Discount",D95&gt;40%,"High Discount")</f>
        <v>Low Disount</v>
      </c>
    </row>
    <row r="97" spans="1:9" x14ac:dyDescent="0.3">
      <c r="A97" t="s">
        <v>32</v>
      </c>
      <c r="B97" s="3">
        <v>2880</v>
      </c>
      <c r="C97" s="3">
        <v>3520</v>
      </c>
      <c r="D97" s="1">
        <v>0.18</v>
      </c>
      <c r="E97">
        <v>12</v>
      </c>
      <c r="F97">
        <v>3.8</v>
      </c>
      <c r="G97" s="3">
        <f t="shared" si="2"/>
        <v>640</v>
      </c>
      <c r="H97" t="str" cm="1">
        <f t="array" ref="H97">IF(F96="","",_xlfn.IFS(F96&lt;3,"Poor",F96&lt;4,"Average",F96&gt;=4,"Excellent"))</f>
        <v>Excellent</v>
      </c>
      <c r="I97" s="4" t="str" cm="1">
        <f t="array" ref="I97">_xlfn.IFS(D96&lt;=20%,"Low Disount",D96&lt;=40%,"Medium Discount",D96&gt;40%,"High Discount")</f>
        <v>Low Disount</v>
      </c>
    </row>
    <row r="98" spans="1:9" x14ac:dyDescent="0.3">
      <c r="A98" t="s">
        <v>88</v>
      </c>
      <c r="B98" s="3">
        <v>1466</v>
      </c>
      <c r="C98" s="3">
        <v>1699</v>
      </c>
      <c r="D98" s="1">
        <v>0.14000000000000001</v>
      </c>
      <c r="G98" s="3">
        <f t="shared" ref="G98:G113" si="3">(C98-B98)</f>
        <v>233</v>
      </c>
      <c r="H98" t="str" cm="1">
        <f t="array" ref="H98">IF(F97="","",_xlfn.IFS(F97&lt;3,"Poor",F97&lt;4,"Average",F97&gt;=4,"Excellent"))</f>
        <v>Average</v>
      </c>
      <c r="I98" s="4" t="str" cm="1">
        <f t="array" ref="I98">_xlfn.IFS(D97&lt;=20%,"Low Disount",D97&lt;=40%,"Medium Discount",D97&gt;40%,"High Discount")</f>
        <v>Low Disount</v>
      </c>
    </row>
    <row r="99" spans="1:9" x14ac:dyDescent="0.3">
      <c r="A99" t="s">
        <v>91</v>
      </c>
      <c r="B99" s="3">
        <v>1468</v>
      </c>
      <c r="C99" s="3">
        <v>1699</v>
      </c>
      <c r="D99" s="1">
        <v>0.14000000000000001</v>
      </c>
      <c r="G99" s="3">
        <f t="shared" si="3"/>
        <v>231</v>
      </c>
      <c r="H99" t="str" cm="1">
        <f t="array" ref="H99">IF(F98="","",_xlfn.IFS(F98&lt;3,"Poor",F98&lt;4,"Average",F98&gt;=4,"Excellent"))</f>
        <v/>
      </c>
      <c r="I99" s="4" t="str" cm="1">
        <f t="array" ref="I99">_xlfn.IFS(D98&lt;=20%,"Low Disount",D98&lt;=40%,"Medium Discount",D98&gt;40%,"High Discount")</f>
        <v>Low Disount</v>
      </c>
    </row>
    <row r="100" spans="1:9" x14ac:dyDescent="0.3">
      <c r="A100" t="s">
        <v>64</v>
      </c>
      <c r="B100" s="3">
        <v>2170</v>
      </c>
      <c r="C100" s="3">
        <v>2500</v>
      </c>
      <c r="D100" s="1">
        <v>0.13</v>
      </c>
      <c r="E100">
        <v>6</v>
      </c>
      <c r="F100">
        <v>2.5</v>
      </c>
      <c r="G100" s="3">
        <f t="shared" si="3"/>
        <v>330</v>
      </c>
      <c r="H100" t="str" cm="1">
        <f t="array" ref="H100">IF(F99="","",_xlfn.IFS(F99&lt;3,"Poor",F99&lt;4,"Average",F99&gt;=4,"Excellent"))</f>
        <v/>
      </c>
      <c r="I100" s="4" t="str" cm="1">
        <f t="array" ref="I100">_xlfn.IFS(D99&lt;=20%,"Low Disount",D99&lt;=40%,"Medium Discount",D99&gt;40%,"High Discount")</f>
        <v>Low Disount</v>
      </c>
    </row>
    <row r="101" spans="1:9" x14ac:dyDescent="0.3">
      <c r="A101" t="s">
        <v>90</v>
      </c>
      <c r="B101" s="3">
        <v>799</v>
      </c>
      <c r="C101" s="3">
        <v>900</v>
      </c>
      <c r="D101" s="1">
        <v>0.11</v>
      </c>
      <c r="G101" s="3">
        <f t="shared" si="3"/>
        <v>101</v>
      </c>
      <c r="H101" t="str" cm="1">
        <f t="array" ref="H101">IF(F100="","",_xlfn.IFS(F100&lt;3,"Poor",F100&lt;4,"Average",F100&gt;=4,"Excellent"))</f>
        <v>Poor</v>
      </c>
      <c r="I101" s="4" t="str" cm="1">
        <f t="array" ref="I101">_xlfn.IFS(D100&lt;=20%,"Low Disount",D100&lt;=40%,"Medium Discount",D100&gt;40%,"High Discount")</f>
        <v>Low Disount</v>
      </c>
    </row>
    <row r="102" spans="1:9" x14ac:dyDescent="0.3">
      <c r="A102" t="s">
        <v>11</v>
      </c>
      <c r="B102" s="3">
        <v>2999</v>
      </c>
      <c r="C102" s="3">
        <v>3290</v>
      </c>
      <c r="D102" s="1">
        <v>0.09</v>
      </c>
      <c r="E102">
        <v>15</v>
      </c>
      <c r="F102">
        <v>4</v>
      </c>
      <c r="G102" s="3">
        <f t="shared" si="3"/>
        <v>291</v>
      </c>
      <c r="H102" t="str" cm="1">
        <f t="array" ref="H102">IF(F101="","",_xlfn.IFS(F101&lt;3,"Poor",F101&lt;4,"Average",F101&gt;=4,"Excellent"))</f>
        <v/>
      </c>
      <c r="I102" s="4" t="str" cm="1">
        <f t="array" ref="I102">_xlfn.IFS(D101&lt;=20%,"Low Disount",D101&lt;=40%,"Medium Discount",D101&gt;40%,"High Discount")</f>
        <v>Low Disount</v>
      </c>
    </row>
    <row r="103" spans="1:9" x14ac:dyDescent="0.3">
      <c r="A103" t="s">
        <v>98</v>
      </c>
      <c r="B103" s="3">
        <v>1526</v>
      </c>
      <c r="C103" s="3">
        <v>1660</v>
      </c>
      <c r="D103" s="1">
        <v>0.08</v>
      </c>
      <c r="G103" s="3">
        <f t="shared" si="3"/>
        <v>134</v>
      </c>
      <c r="H103" t="str" cm="1">
        <f t="array" ref="H103">IF(F102="","",_xlfn.IFS(F102&lt;3,"Poor",F102&lt;4,"Average",F102&gt;=4,"Excellent"))</f>
        <v>Excellent</v>
      </c>
      <c r="I103" s="4" t="str" cm="1">
        <f t="array" ref="I103">_xlfn.IFS(D102&lt;=20%,"Low Disount",D102&lt;=40%,"Medium Discount",D102&gt;40%,"High Discount")</f>
        <v>Low Disount</v>
      </c>
    </row>
    <row r="104" spans="1:9" x14ac:dyDescent="0.3">
      <c r="A104" t="s">
        <v>81</v>
      </c>
      <c r="B104" s="3">
        <v>1732</v>
      </c>
      <c r="C104" s="3">
        <v>1799</v>
      </c>
      <c r="D104" s="1">
        <v>0.04</v>
      </c>
      <c r="G104" s="3">
        <f t="shared" si="3"/>
        <v>67</v>
      </c>
      <c r="H104" t="str" cm="1">
        <f t="array" ref="H104">IF(F103="","",_xlfn.IFS(F103&lt;3,"Poor",F103&lt;4,"Average",F103&gt;=4,"Excellent"))</f>
        <v/>
      </c>
      <c r="I104" s="4" t="str" cm="1">
        <f t="array" ref="I104">_xlfn.IFS(D103&lt;=20%,"Low Disount",D103&lt;=40%,"Medium Discount",D103&gt;40%,"High Discount")</f>
        <v>Low Disount</v>
      </c>
    </row>
    <row r="105" spans="1:9" x14ac:dyDescent="0.3">
      <c r="A105" t="s">
        <v>101</v>
      </c>
      <c r="B105" s="3">
        <v>3546</v>
      </c>
      <c r="C105" s="3">
        <v>3699</v>
      </c>
      <c r="D105" s="1">
        <v>0.04</v>
      </c>
      <c r="G105" s="3">
        <f t="shared" si="3"/>
        <v>153</v>
      </c>
      <c r="H105" t="str" cm="1">
        <f t="array" ref="H105">IF(F104="","",_xlfn.IFS(F104&lt;3,"Poor",F104&lt;4,"Average",F104&gt;=4,"Excellent"))</f>
        <v/>
      </c>
      <c r="I105" s="4" t="str" cm="1">
        <f t="array" ref="I105">_xlfn.IFS(D104&lt;=20%,"Low Disount",D104&lt;=40%,"Medium Discount",D104&gt;40%,"High Discount")</f>
        <v>Low Disount</v>
      </c>
    </row>
    <row r="106" spans="1:9" x14ac:dyDescent="0.3">
      <c r="A106" t="s">
        <v>58</v>
      </c>
      <c r="B106" s="3">
        <v>1459</v>
      </c>
      <c r="C106" s="3">
        <v>1499</v>
      </c>
      <c r="D106" s="1">
        <v>0.03</v>
      </c>
      <c r="G106" s="3">
        <f t="shared" si="3"/>
        <v>40</v>
      </c>
      <c r="H106" t="str" cm="1">
        <f t="array" ref="H106">IF(F105="","",_xlfn.IFS(F105&lt;3,"Poor",F105&lt;4,"Average",F105&gt;=4,"Excellent"))</f>
        <v/>
      </c>
      <c r="I106" s="4" t="str" cm="1">
        <f t="array" ref="I106">_xlfn.IFS(D105&lt;=20%,"Low Disount",D105&lt;=40%,"Medium Discount",D105&gt;40%,"High Discount")</f>
        <v>Low Disount</v>
      </c>
    </row>
    <row r="107" spans="1:9" x14ac:dyDescent="0.3">
      <c r="A107" t="s">
        <v>86</v>
      </c>
      <c r="B107" s="3">
        <v>1666</v>
      </c>
      <c r="C107" s="3">
        <v>1699</v>
      </c>
      <c r="D107" s="1">
        <v>0.02</v>
      </c>
      <c r="G107" s="3">
        <f t="shared" si="3"/>
        <v>33</v>
      </c>
      <c r="H107" t="str" cm="1">
        <f t="array" ref="H107">IF(F106="","",_xlfn.IFS(F106&lt;3,"Poor",F106&lt;4,"Average",F106&gt;=4,"Excellent"))</f>
        <v/>
      </c>
      <c r="I107" s="4" t="str" cm="1">
        <f t="array" ref="I107">_xlfn.IFS(D106&lt;=20%,"Low Disount",D106&lt;=40%,"Medium Discount",D106&gt;40%,"High Discount")</f>
        <v>Low Disount</v>
      </c>
    </row>
    <row r="108" spans="1:9" x14ac:dyDescent="0.3">
      <c r="A108" t="s">
        <v>56</v>
      </c>
      <c r="B108" s="3">
        <v>1660</v>
      </c>
      <c r="C108" s="3">
        <v>1699</v>
      </c>
      <c r="D108" s="1">
        <v>0.02</v>
      </c>
      <c r="G108" s="3">
        <f t="shared" si="3"/>
        <v>39</v>
      </c>
      <c r="H108" t="str" cm="1">
        <f t="array" ref="H108">IF(F107="","",_xlfn.IFS(F107&lt;3,"Poor",F107&lt;4,"Average",F107&gt;=4,"Excellent"))</f>
        <v/>
      </c>
      <c r="I108" s="4" t="str" cm="1">
        <f t="array" ref="I108">_xlfn.IFS(D107&lt;=20%,"Low Disount",D107&lt;=40%,"Medium Discount",D107&gt;40%,"High Discount")</f>
        <v>Low Disount</v>
      </c>
    </row>
    <row r="109" spans="1:9" x14ac:dyDescent="0.3">
      <c r="A109" t="s">
        <v>99</v>
      </c>
      <c r="B109" s="3">
        <v>1462</v>
      </c>
      <c r="C109" s="3">
        <v>1499</v>
      </c>
      <c r="D109" s="1">
        <v>0.02</v>
      </c>
      <c r="G109" s="3">
        <f t="shared" si="3"/>
        <v>37</v>
      </c>
      <c r="H109" t="str" cm="1">
        <f t="array" ref="H109">IF(F108="","",_xlfn.IFS(F108&lt;3,"Poor",F108&lt;4,"Average",F108&gt;=4,"Excellent"))</f>
        <v/>
      </c>
      <c r="I109" s="4" t="str" cm="1">
        <f t="array" ref="I109">_xlfn.IFS(D108&lt;=20%,"Low Disount",D108&lt;=40%,"Medium Discount",D108&gt;40%,"High Discount")</f>
        <v>Low Disount</v>
      </c>
    </row>
    <row r="110" spans="1:9" x14ac:dyDescent="0.3">
      <c r="A110" t="s">
        <v>49</v>
      </c>
      <c r="B110" s="3">
        <v>2132</v>
      </c>
      <c r="C110" s="3">
        <v>2169</v>
      </c>
      <c r="D110" s="1">
        <v>0.02</v>
      </c>
      <c r="G110" s="3">
        <f t="shared" si="3"/>
        <v>37</v>
      </c>
      <c r="H110" t="str" cm="1">
        <f t="array" ref="H110">IF(F109="","",_xlfn.IFS(F109&lt;3,"Poor",F109&lt;4,"Average",F109&gt;=4,"Excellent"))</f>
        <v/>
      </c>
      <c r="I110" s="4" t="str" cm="1">
        <f t="array" ref="I110">_xlfn.IFS(D109&lt;=20%,"Low Disount",D109&lt;=40%,"Medium Discount",D109&gt;40%,"High Discount")</f>
        <v>Low Disount</v>
      </c>
    </row>
    <row r="111" spans="1:9" x14ac:dyDescent="0.3">
      <c r="A111" t="s">
        <v>110</v>
      </c>
      <c r="B111" s="3">
        <v>1658</v>
      </c>
      <c r="C111" s="3">
        <v>1699</v>
      </c>
      <c r="D111" s="1">
        <v>0.02</v>
      </c>
      <c r="G111" s="3">
        <f t="shared" si="3"/>
        <v>41</v>
      </c>
      <c r="H111" t="str" cm="1">
        <f t="array" ref="H111">IF(F110="","",_xlfn.IFS(F110&lt;3,"Poor",F110&lt;4,"Average",F110&gt;=4,"Excellent"))</f>
        <v/>
      </c>
      <c r="I111" s="4" t="str" cm="1">
        <f t="array" ref="I111">_xlfn.IFS(D110&lt;=20%,"Low Disount",D110&lt;=40%,"Medium Discount",D110&gt;40%,"High Discount")</f>
        <v>Low Disount</v>
      </c>
    </row>
    <row r="112" spans="1:9" x14ac:dyDescent="0.3">
      <c r="A112" t="s">
        <v>111</v>
      </c>
      <c r="B112" s="3">
        <v>1768</v>
      </c>
      <c r="C112" s="3">
        <v>1799</v>
      </c>
      <c r="D112" s="1">
        <v>0.02</v>
      </c>
      <c r="G112" s="3">
        <f t="shared" si="3"/>
        <v>31</v>
      </c>
      <c r="H112" t="str" cm="1">
        <f t="array" ref="H112">IF(F111="","",_xlfn.IFS(F111&lt;3,"Poor",F111&lt;4,"Average",F111&gt;=4,"Excellent"))</f>
        <v/>
      </c>
      <c r="I112" s="4" t="str" cm="1">
        <f t="array" ref="I112">_xlfn.IFS(D111&lt;=20%,"Low Disount",D111&lt;=40%,"Medium Discount",D111&gt;40%,"High Discount")</f>
        <v>Low Disount</v>
      </c>
    </row>
    <row r="113" spans="1:9" x14ac:dyDescent="0.3">
      <c r="A113" t="s">
        <v>106</v>
      </c>
      <c r="B113" s="3">
        <v>1875</v>
      </c>
      <c r="C113" s="3">
        <v>1899</v>
      </c>
      <c r="D113" s="1">
        <v>0.01</v>
      </c>
      <c r="G113" s="3">
        <f t="shared" si="3"/>
        <v>24</v>
      </c>
      <c r="H113" t="str" cm="1">
        <f t="array" ref="H113">IF(F112="","",_xlfn.IFS(F112&lt;3,"Poor",F112&lt;4,"Average",F112&gt;=4,"Excellent"))</f>
        <v/>
      </c>
      <c r="I113" s="4" t="str" cm="1">
        <f t="array" ref="I113">_xlfn.IFS(D112&lt;=20%,"Low Disount",D112&lt;=40%,"Medium Discount",D112&gt;40%,"High Discount")</f>
        <v>Low Disount</v>
      </c>
    </row>
    <row r="114" spans="1:9" x14ac:dyDescent="0.3">
      <c r="D114" s="1"/>
    </row>
  </sheetData>
  <sortState xmlns:xlrd2="http://schemas.microsoft.com/office/spreadsheetml/2017/richdata2" ref="A1:M113">
    <sortCondition descending="1" ref="D1:D113"/>
  </sortState>
  <conditionalFormatting sqref="D1:D1048576">
    <cfRule type="top10" dxfId="4" priority="1" rank="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discount percentage per review</vt:lpstr>
      <vt:lpstr>rating against reviews</vt:lpstr>
      <vt:lpstr>products top rating </vt:lpstr>
      <vt:lpstr>product low rating</vt:lpstr>
      <vt:lpstr>products against reviews and ra</vt:lpstr>
      <vt:lpstr>top ten products by review,r, d</vt:lpstr>
      <vt:lpstr>top ten products by reviews</vt:lpstr>
      <vt:lpstr>product by rating c and d cat</vt:lpstr>
      <vt:lpstr>Excel_jumia_dataset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NELLY MOGERE</dc:creator>
  <cp:lastModifiedBy>NELLY MOGERE</cp:lastModifiedBy>
  <dcterms:created xsi:type="dcterms:W3CDTF">2026-06-05T09:54:51Z</dcterms:created>
  <dcterms:modified xsi:type="dcterms:W3CDTF">2026-06-13T08:31:03Z</dcterms:modified>
</cp:coreProperties>
</file>